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160" windowHeight="10880" activeTab="1"/>
  </bookViews>
  <sheets>
    <sheet name="运营说明" sheetId="1" r:id="rId1"/>
    <sheet name="样本录入" sheetId="2" r:id="rId2"/>
    <sheet name="字段字典" sheetId="3" r:id="rId3"/>
    <sheet name="选项表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<sst xmlns="http://schemas.openxmlformats.org/spreadsheetml/2006/main" count="1221" uniqueCount="961">
  <si>
    <t>RedNote CTR 真实样本库</t>
  </si>
  <si>
    <t>使用方式</t>
  </si>
  <si>
    <t>把封面图片放进 data/images/，在“样本录入”里追加一行，并填写 filename 和真实 CTR。</t>
  </si>
  <si>
    <t>训练样本数</t>
  </si>
  <si>
    <t>当前前端</t>
  </si>
  <si>
    <t>读取 data/samples.csv；Excel 更新后请同步导出 CSV，后续可接自动同步脚本。</t>
  </si>
  <si>
    <t>平均 CTR</t>
  </si>
  <si>
    <t>必填字段</t>
  </si>
  <si>
    <t>filename、ctr。建议同时填写 title、project、exposure、clicks、published_at。</t>
  </si>
  <si>
    <t>最高 CTR</t>
  </si>
  <si>
    <t>图片命名</t>
  </si>
  <si>
    <t>建议用 001.jpg、20260522_account_project_01.jpg 这类稳定文件名，不要频繁改名。</t>
  </si>
  <si>
    <t>已填曝光样本</t>
  </si>
  <si>
    <t>CTR 口径</t>
  </si>
  <si>
    <t>ctr 填百分数数值，例如 8.6 表示 8.6%。如果有曝光和点击，也请填写。</t>
  </si>
  <si>
    <t>真人主体占比</t>
  </si>
  <si>
    <t>更新频率</t>
  </si>
  <si>
    <t>建议每周至少回填一次真实发布数据。</t>
  </si>
  <si>
    <t>前后对比占比</t>
  </si>
  <si>
    <t>filename</t>
  </si>
  <si>
    <t>ctr</t>
  </si>
  <si>
    <t>title</t>
  </si>
  <si>
    <t>project</t>
  </si>
  <si>
    <t>has_face</t>
  </si>
  <si>
    <t>has_before_after</t>
  </si>
  <si>
    <t>account_type</t>
  </si>
  <si>
    <t>exposure</t>
  </si>
  <si>
    <t>clicks</t>
  </si>
  <si>
    <t>published_at</t>
  </si>
  <si>
    <t>note_url</t>
  </si>
  <si>
    <t>source</t>
  </si>
  <si>
    <t>designer</t>
  </si>
  <si>
    <t>status</t>
  </si>
  <si>
    <t>notes</t>
  </si>
  <si>
    <t>ZSLB-01.jpg</t>
  </si>
  <si>
    <t>短鼻 朝天鼻，1支延长鼻尖，抬高鼻背～</t>
  </si>
  <si>
    <t>注射/朝天鼻</t>
  </si>
  <si>
    <t>ZSLB-02.jpg</t>
  </si>
  <si>
    <t>2026不叨叨|打造妈生立体鼻</t>
  </si>
  <si>
    <t>注射/妈生立体鼻</t>
  </si>
  <si>
    <t>ZSLB-03.jpg</t>
  </si>
  <si>
    <t>不是...不叨叨也能爆改塌鼻子了吗⁉</t>
  </si>
  <si>
    <t>注射/缩小鼻翼</t>
  </si>
  <si>
    <t>ZSLB-04.jpg</t>
  </si>
  <si>
    <t>鼻头扁塌|不叨叨爆改立体妈生鼻</t>
  </si>
  <si>
    <t>注射/塌鼻子</t>
  </si>
  <si>
    <t>ZSLB-05.jpg</t>
  </si>
  <si>
    <t>关于注射鼻答疑解惑，快问快答来喽～</t>
  </si>
  <si>
    <t>注射鼻</t>
  </si>
  <si>
    <t>ZSLB-06.jpg</t>
  </si>
  <si>
    <t>没山根伪塌鼻，3ml沉浸式注射全流程…</t>
  </si>
  <si>
    <t>ZSLB-07.jpg</t>
  </si>
  <si>
    <t>原来拉出面中真的只需要6ml～</t>
  </si>
  <si>
    <t>ZSLB-08.jpg</t>
  </si>
  <si>
    <t>20min沉浸式体验注射，仅仅需要4支～</t>
  </si>
  <si>
    <t>ZSLB-09.jpg</t>
  </si>
  <si>
    <t>30min注射鼻全过程～改善矮塌鼻即刻惊艳…</t>
  </si>
  <si>
    <t>ZSLB-10.jpg</t>
  </si>
  <si>
    <t>【实录】只需打起鼻小柱，打造T区高级感</t>
  </si>
  <si>
    <t>ZSLB-11.jpg</t>
  </si>
  <si>
    <t>沉浸式｜低山根矮塌鼻逆袭自然妈生鼻</t>
  </si>
  <si>
    <t>ZSLB-12.jpg</t>
  </si>
  <si>
    <t>原来普通人变美这么简单~</t>
  </si>
  <si>
    <t>ZSLB-13.jpg</t>
  </si>
  <si>
    <t>矮塌蒜头鼻2ml注射妈生鼻全程vlog</t>
  </si>
  <si>
    <t>ZSLB-14.jpg</t>
  </si>
  <si>
    <t>【实录】只需打起鼻小柱，拿捏鼻子高级感！</t>
  </si>
  <si>
    <t>ZSLB-15.jpg</t>
  </si>
  <si>
    <t>重庆注射鼻｜低山根塌鼻子爆改实录</t>
  </si>
  <si>
    <t>ZSLB-16.jpg</t>
  </si>
  <si>
    <t>矮塌鼻设计思路～</t>
  </si>
  <si>
    <t>LB-01.jpg</t>
  </si>
  <si>
    <t>妈生幼态感 | 直鼻微翘微起伏！</t>
  </si>
  <si>
    <t>手术隆鼻/直鼻微翘妈生鼻</t>
  </si>
  <si>
    <t>LB-02.jpg</t>
  </si>
  <si>
    <t>自然立体鼻设计，提升面部轮廓感！</t>
  </si>
  <si>
    <t>手术隆鼻/自然立体鼻</t>
  </si>
  <si>
    <t>LB-03.jpg</t>
  </si>
  <si>
    <t>直鼻微翘+盒型鼻头，人生鼻子！</t>
  </si>
  <si>
    <t>手术隆鼻/直鼻微翘</t>
  </si>
  <si>
    <t>LB-04.jpg</t>
  </si>
  <si>
    <t>/</t>
  </si>
  <si>
    <t>手术隆鼻/鼻综合/自然驼峰鼻</t>
  </si>
  <si>
    <t>LB-05.jpg</t>
  </si>
  <si>
    <t>成都原相机妈生鼻，无惧揉捏！超绝审美！</t>
  </si>
  <si>
    <t>手术隆鼻/妈生鼻</t>
  </si>
  <si>
    <t>LB-06.jpg</t>
  </si>
  <si>
    <t>这鼻子谁看了不说一句绝美！</t>
  </si>
  <si>
    <t>LB-07.jpg</t>
  </si>
  <si>
    <t>鼻修复，这次要逆袭上镜男主角！</t>
  </si>
  <si>
    <t>手术隆鼻/鼻修复/网感鼻</t>
  </si>
  <si>
    <t>LB-08.jpg</t>
  </si>
  <si>
    <t>别眨眼👀，20秒感受鼻子有多重要</t>
  </si>
  <si>
    <t>手术隆鼻</t>
  </si>
  <si>
    <t>LB-09.jpg</t>
  </si>
  <si>
    <t>LB-10.jpg</t>
  </si>
  <si>
    <t>北京鼻子丨高山根棍感鼻+假体显形修复思路</t>
  </si>
  <si>
    <t>手术隆鼻/假体修复</t>
  </si>
  <si>
    <t>LB-11.jpg</t>
  </si>
  <si>
    <t>自然款直鼻微翘👃肋骨鼻拉面中</t>
  </si>
  <si>
    <t>手术隆鼻/直鼻微翘/肋骨鼻</t>
  </si>
  <si>
    <t>LB-12.jpg</t>
  </si>
  <si>
    <t>05年女大塌鼻+面中凹陷的正确do鼻思路！</t>
  </si>
  <si>
    <t>手术隆鼻/面中凹陷</t>
  </si>
  <si>
    <t>LB-13.jpg</t>
  </si>
  <si>
    <t>鼻骨歪斜+短鼻露鼻孔丨第一天查房+感受</t>
  </si>
  <si>
    <t>LB-14.jpg</t>
  </si>
  <si>
    <t>低山根直鼻+清冷感可以申请当你的模板嘛</t>
  </si>
  <si>
    <t>手术隆鼻/低山根直鼻</t>
  </si>
  <si>
    <t>LB-15.jpg</t>
  </si>
  <si>
    <t>姐妹们，北京7w的鼻综合我先冲了！</t>
  </si>
  <si>
    <t>手术隆鼻/鼻综合</t>
  </si>
  <si>
    <t>LB-16.jpg</t>
  </si>
  <si>
    <t>大鼻头缩小 别再傻傻只切鼻头了！</t>
  </si>
  <si>
    <t>手术隆鼻/大鼻头缩小</t>
  </si>
  <si>
    <t>LB-17.jpg</t>
  </si>
  <si>
    <t>成都鼻修复|高级感 我的强项罢了</t>
  </si>
  <si>
    <t>LB-18.jpg</t>
  </si>
  <si>
    <t>这个鼻子怎么回事？</t>
  </si>
  <si>
    <t>LB-19.jpg</t>
  </si>
  <si>
    <t>binder综合症：无法和解的20年</t>
  </si>
  <si>
    <t>LB-20.jpg</t>
  </si>
  <si>
    <t>肋软骨钙化 还能do鼻吗？？</t>
  </si>
  <si>
    <t>手术隆鼻/知识</t>
  </si>
  <si>
    <t>LB-21.jpg</t>
  </si>
  <si>
    <t>直鼻微翘微起伏，太美了吧！</t>
  </si>
  <si>
    <t>LB-22.jpg</t>
  </si>
  <si>
    <t>上海鼻翼模板，4mm精致小巧👃.....</t>
  </si>
  <si>
    <t>LB-23.jpg</t>
  </si>
  <si>
    <t>男生微驼峰模版</t>
  </si>
  <si>
    <t>LB-24.jpg</t>
  </si>
  <si>
    <t>大大的鼻孔也许小小的调整就能改善～～</t>
  </si>
  <si>
    <t>LB-25.jpg</t>
  </si>
  <si>
    <t>鼻子长期稳定的关键要看这三点…</t>
  </si>
  <si>
    <t>LB-26.jpg</t>
  </si>
  <si>
    <t>露鼻孔怎么办❓</t>
  </si>
  <si>
    <t>LB-27.jpg</t>
  </si>
  <si>
    <t>直鼻微翘+微起伏👃</t>
  </si>
  <si>
    <t>LB-28.jpg</t>
  </si>
  <si>
    <t>露鼻孔|鼻翼缘30分钟矫正</t>
  </si>
  <si>
    <t>LB-29.jpg</t>
  </si>
  <si>
    <t>拒绝露鼻孔 拒绝鼻翼缘退缩～</t>
  </si>
  <si>
    <t>LB-30.jpg</t>
  </si>
  <si>
    <t>直鼻微翘+微起伏👃可以申请当你的模版嘛</t>
  </si>
  <si>
    <t>LB-31.jpg</t>
  </si>
  <si>
    <t>女生大鼻子模板</t>
  </si>
  <si>
    <t>LB-32.jpg</t>
  </si>
  <si>
    <t>大鼻头爆改思路｜猪猪女孩快来做功课～</t>
  </si>
  <si>
    <t>LB-33.jpg</t>
  </si>
  <si>
    <t>告别大鼻子，原来只需要两步！！</t>
  </si>
  <si>
    <t>LB-34.jpg</t>
  </si>
  <si>
    <t>鼻头大、鼻孔大的，就看这一篇！</t>
  </si>
  <si>
    <t>LB-35.jpg</t>
  </si>
  <si>
    <t>单纯软组织肥厚的大鼻头，不放材料解决思路</t>
  </si>
  <si>
    <t>LB-36.jpg</t>
  </si>
  <si>
    <t>大鼻子女生</t>
  </si>
  <si>
    <t>LB-37.jpg</t>
  </si>
  <si>
    <t>鼻槛缺损断裂还能修吗？</t>
  </si>
  <si>
    <t>LB-38.jpg</t>
  </si>
  <si>
    <t>鼻翼缩小，👃🏻真能小这么多？</t>
  </si>
  <si>
    <t>LB-39.jpg</t>
  </si>
  <si>
    <t>OMG!没想到改善大鼻孔和鼻孔外漏这么简单！</t>
  </si>
  <si>
    <t>LB-40.jpg</t>
  </si>
  <si>
    <t>露鼻孔</t>
  </si>
  <si>
    <t>LB-41.jpg</t>
  </si>
  <si>
    <t>为什么双拱鼻头不会变形下旋❓</t>
  </si>
  <si>
    <t>LB-42.jpg</t>
  </si>
  <si>
    <t>只是缩了4mm...</t>
  </si>
  <si>
    <t>LB-43.jpg</t>
  </si>
  <si>
    <t>什么是三维优化内外联合缩鼻翼？</t>
  </si>
  <si>
    <t>LB-44.jpg</t>
  </si>
  <si>
    <t>peek眉弓+8mm鼻基底，美学要点与沟通技巧</t>
  </si>
  <si>
    <t>LB-45.jpg</t>
  </si>
  <si>
    <t>鼻尖顶白了，可以只修复鼻头吗？</t>
  </si>
  <si>
    <t>LB-46.jpg</t>
  </si>
  <si>
    <t>缩鼻翼模版｜“扁塌鼻”终于🈶调整思路啦～</t>
  </si>
  <si>
    <t>LB-47.jpg</t>
  </si>
  <si>
    <t>皮肤厚软组织多，无材料大鼻头缩小解决思路</t>
  </si>
  <si>
    <t>LB-48.jpg</t>
  </si>
  <si>
    <t>直鼻微翘微驼峰，自然、原生、灵动！</t>
  </si>
  <si>
    <t>LB-49.jpg</t>
  </si>
  <si>
    <t>再也不怕大鼻孔大鼻头了，拒绝露鼻孔❗️</t>
  </si>
  <si>
    <t>LB-50.jpg</t>
  </si>
  <si>
    <t>大鼻头宽鼻翼改善思路～</t>
  </si>
  <si>
    <t>LB-51.jpg</t>
  </si>
  <si>
    <t>滑行皮瓣缩鼻翼跟传统鼻翼内外切有什么区别</t>
  </si>
  <si>
    <t>LB-52.jpg</t>
  </si>
  <si>
    <t>-</t>
  </si>
  <si>
    <t>LB-53.jpg</t>
  </si>
  <si>
    <t>do鼻支架该如何选择？</t>
  </si>
  <si>
    <t>LB-54.jpg</t>
  </si>
  <si>
    <t>鼻模版之直鼻微翘</t>
  </si>
  <si>
    <t>LB-55.jpg</t>
  </si>
  <si>
    <t>当你do到了妈生鼻的精髓！！</t>
  </si>
  <si>
    <t>LB-56.jpg</t>
  </si>
  <si>
    <t>关注老宫6年的粉丝从山东过来面诊</t>
  </si>
  <si>
    <t>LB-57.jpg</t>
  </si>
  <si>
    <t>在上海do到了妈生鼻的精髓……</t>
  </si>
  <si>
    <t>LB-58.jpg</t>
  </si>
  <si>
    <t>怪不得说鼻子是五官之首</t>
  </si>
  <si>
    <t>LB-59.jpg</t>
  </si>
  <si>
    <t>重度露鼻孔|调整思路|鼻翼缘矫正</t>
  </si>
  <si>
    <t>LB-60.jpg</t>
  </si>
  <si>
    <t>鼻翼宽鼻头大终于🈶调整思路啦❗️</t>
  </si>
  <si>
    <t>LB-61.jpg</t>
  </si>
  <si>
    <t>当你do到了妈生鼻的精髓美学设计！！</t>
  </si>
  <si>
    <t>LB-62.jpg</t>
  </si>
  <si>
    <t>缩鼻翼5mm模版｜“扁塌鼻”终于🈶调整思路了❗️</t>
  </si>
  <si>
    <t>LB-63.jpg</t>
  </si>
  <si>
    <t>直鼻微翘｜妈生鼻到天花板审美思路！！</t>
  </si>
  <si>
    <t>LB-64.jpg</t>
  </si>
  <si>
    <t>这就是妈生鼻的精髓吗❓</t>
  </si>
  <si>
    <t>LB-65.jpg</t>
  </si>
  <si>
    <t>6种缩鼻翼方式，看看您适合哪种</t>
  </si>
  <si>
    <t>LB-66.jpg</t>
  </si>
  <si>
    <t>以前和现在，这算成功逆袭了吗？</t>
  </si>
  <si>
    <t>LB-67.jpg</t>
  </si>
  <si>
    <t>歪鼻修复，立体骨相鼻👃</t>
  </si>
  <si>
    <t>LB-68.jpg</t>
  </si>
  <si>
    <t>当凹面脸决定去do鼻……..</t>
  </si>
  <si>
    <t>LB-69.jpg</t>
  </si>
  <si>
    <t>鼻子太影响颜值了…</t>
  </si>
  <si>
    <t>LB-70.jpg</t>
  </si>
  <si>
    <t>面中拉出4mm的直鼻微翘！！！</t>
  </si>
  <si>
    <t>LB-71.jpg</t>
  </si>
  <si>
    <t>原来do鼻真的可以换头！！</t>
  </si>
  <si>
    <t>LB-72.jpg</t>
  </si>
  <si>
    <t>第一次这么直观😭原相机下真的好自然</t>
  </si>
  <si>
    <t>LB-73.jpg</t>
  </si>
  <si>
    <t>当你面中凹陷决定去do鼻！</t>
  </si>
  <si>
    <t>LB-74.jpg</t>
  </si>
  <si>
    <t>直鼻微翘微起伏👃～</t>
  </si>
  <si>
    <t>LB-75.jpg</t>
  </si>
  <si>
    <t>再也不用为这个月亮脸自卑了！！</t>
  </si>
  <si>
    <t>LB-76.jpg</t>
  </si>
  <si>
    <t>论普女do完鼻子改变有多大</t>
  </si>
  <si>
    <t>LB-77.jpg</t>
  </si>
  <si>
    <t>幼态妈生鼻真的好喜欢…</t>
  </si>
  <si>
    <t>LB-78.jpg</t>
  </si>
  <si>
    <t>一个鼻子而已 变化能有多大…</t>
  </si>
  <si>
    <t>LB-79.jpg</t>
  </si>
  <si>
    <t>这鼻子五一回家会被爸妈发现吗！</t>
  </si>
  <si>
    <t>LB-80.jpg</t>
  </si>
  <si>
    <t>原来大鼻头还可以这样</t>
  </si>
  <si>
    <t>LB-81.jpg</t>
  </si>
  <si>
    <t>只是do了个鼻，没想到变化这么大</t>
  </si>
  <si>
    <t>LB-82.jpg</t>
  </si>
  <si>
    <t>面中拉出后得到了妈生侧颜～</t>
  </si>
  <si>
    <t>LB-83.jpg</t>
  </si>
  <si>
    <t>当我把面中拉出…</t>
  </si>
  <si>
    <t>LB-84.jpg</t>
  </si>
  <si>
    <t>我承认 以前的鼻子确实丑了点</t>
  </si>
  <si>
    <t>LB-85.jpg</t>
  </si>
  <si>
    <t>当我 do 了个露思同款鼻…</t>
  </si>
  <si>
    <t>LB-86.jpg</t>
  </si>
  <si>
    <t>像她三分已是绝色</t>
  </si>
  <si>
    <t>LB-87.jpg</t>
  </si>
  <si>
    <t>没想到do鼻后颜值能提升这么多…</t>
  </si>
  <si>
    <t>LB-88.jpg</t>
  </si>
  <si>
    <t>直观感受面中拉出40%的震撼！！</t>
  </si>
  <si>
    <t>LB-89.jpg</t>
  </si>
  <si>
    <t>原相机妈生鼻｜双拱支架 随意揉捏～</t>
  </si>
  <si>
    <t>LB-90.jpg</t>
  </si>
  <si>
    <t>深圳妈生感微起伏鼻，值吗？</t>
  </si>
  <si>
    <t>LB-91.jpg</t>
  </si>
  <si>
    <t>成都鼻修复|这次鼻子只能给到一个夯了</t>
  </si>
  <si>
    <t>LB-92.jpg</t>
  </si>
  <si>
    <t>📷原相机感受拉出面中的含金量</t>
  </si>
  <si>
    <t>LB-93.jpg</t>
  </si>
  <si>
    <t>面中拉出40%的含金量….</t>
  </si>
  <si>
    <t>LB-94.jpg</t>
  </si>
  <si>
    <t>直鼻微翘📷原相机live图直出</t>
  </si>
  <si>
    <t>LB-95.jpg</t>
  </si>
  <si>
    <t>成都周顺波 隆鼻届权威的代表！</t>
  </si>
  <si>
    <t>LB-96.jpg</t>
  </si>
  <si>
    <t>啊啊啊！谁懂这个👃的含金量啊！</t>
  </si>
  <si>
    <t>LB-97.jpg</t>
  </si>
  <si>
    <t>成都隆鼻微起伏|4mm拉面中，上镜骨感高级</t>
  </si>
  <si>
    <t>LB-98.jpg</t>
  </si>
  <si>
    <t>成都鼻修复｜隆鼻怎么可能找谁都一样</t>
  </si>
  <si>
    <t>LB-99.jpg</t>
  </si>
  <si>
    <t>成都微起伏|把我推给所有需要鼻修复的妹妹</t>
  </si>
  <si>
    <t>LB-100.jpg</t>
  </si>
  <si>
    <t>成都鼻修复|被妈生高级感拿捏了~</t>
  </si>
  <si>
    <t>LB-101.jpg</t>
  </si>
  <si>
    <t>成都周顺波｜3个部位改善面中凹陷</t>
  </si>
  <si>
    <t>LB-102.jpg</t>
  </si>
  <si>
    <t>LB-103.jpg</t>
  </si>
  <si>
    <t>成都上镜骨感鼻|高辨识度的高级感！！</t>
  </si>
  <si>
    <t>LB-104.jpg</t>
  </si>
  <si>
    <t>成都隆鼻｜终于拥有了权威的骨相侧脸了！！</t>
  </si>
  <si>
    <t>LB-105.jpg</t>
  </si>
  <si>
    <t>成都上镜骨感鼻！隆鼻的尽头就是自然高级</t>
  </si>
  <si>
    <t>LB-106.jpg</t>
  </si>
  <si>
    <t>短塌鼻逆袭思路</t>
  </si>
  <si>
    <t>LB-107.jpg</t>
  </si>
  <si>
    <t>肋骨直鼻微翘👃精致上镜鼻型</t>
  </si>
  <si>
    <t>LB-108.jpg</t>
  </si>
  <si>
    <t>当你do到妈生鼻的精髓后……</t>
  </si>
  <si>
    <t>LB-109.jpg</t>
  </si>
  <si>
    <t>这就是无假体隆鼻👃的含金量吗……</t>
  </si>
  <si>
    <t>LB-110.jpg</t>
  </si>
  <si>
    <t>do鼻7天，拆盲盒来了</t>
  </si>
  <si>
    <t>LB-111.jpg</t>
  </si>
  <si>
    <t>深圳do鼻，值吗？</t>
  </si>
  <si>
    <t>LB-112.jpg</t>
  </si>
  <si>
    <t>深圳隆鼻模板</t>
  </si>
  <si>
    <t>LB-113.jpg</t>
  </si>
  <si>
    <t>深圳拉面中丨凹面型扁平脸改善思路</t>
  </si>
  <si>
    <t>LB-114.jpg</t>
  </si>
  <si>
    <t>4mm假体拉面中，深圳微起伏上镜骨感鼻</t>
  </si>
  <si>
    <t>LB-115.jpg</t>
  </si>
  <si>
    <t>深圳do鼻丨面中凹陷改善思路</t>
  </si>
  <si>
    <t>LB-116.jpg</t>
  </si>
  <si>
    <t>深圳do鼻微起伏|4mm拉面中，上镜骨感高级</t>
  </si>
  <si>
    <t>LB-117.jpg</t>
  </si>
  <si>
    <t>杭州do鼻|外国人do鼻前后差距有多大？</t>
  </si>
  <si>
    <t>LB-118.jpg</t>
  </si>
  <si>
    <t>找杭州do鼻之神切换风格</t>
  </si>
  <si>
    <t>LB-119.jpg</t>
  </si>
  <si>
    <t>不用惊讶 一款美鼻直接活出两种人生</t>
  </si>
  <si>
    <t>LB-120.jpg</t>
  </si>
  <si>
    <t>适配脸型的微起伏鼻</t>
  </si>
  <si>
    <t>LB-121.jpg</t>
  </si>
  <si>
    <t>破防了！原来ai都算不出的黄金比例，藏在这里</t>
  </si>
  <si>
    <t>LB-122.jpg</t>
  </si>
  <si>
    <t>用色彩打开你的鼻模版</t>
  </si>
  <si>
    <t>LB-123.jpg</t>
  </si>
  <si>
    <t>鼻修复依旧选他！</t>
  </si>
  <si>
    <t>LB-124.jpg</t>
  </si>
  <si>
    <t>do鼻后不贴胶带等于白做！</t>
  </si>
  <si>
    <t>LB-125.jpg</t>
  </si>
  <si>
    <t>妈生感直鼻微翘模版❗️❗️❗️</t>
  </si>
  <si>
    <t>LB-126.jpg</t>
  </si>
  <si>
    <t>直鼻模版～</t>
  </si>
  <si>
    <t>LB-127.jpg</t>
  </si>
  <si>
    <t>LB-128.jpg</t>
  </si>
  <si>
    <t>LB-129.jpg</t>
  </si>
  <si>
    <t>这才是扁平脸塌鼻子 正确do鼻思路！</t>
  </si>
  <si>
    <t>LB-130.jpg</t>
  </si>
  <si>
    <t>妈生鼻也有微起伏了？悄悄变美do鼻模板！</t>
  </si>
  <si>
    <t>LB-131.jpg</t>
  </si>
  <si>
    <t>如何设计出好看的鼻子？深圳do鼻模板！</t>
  </si>
  <si>
    <t>LB-132.jpg</t>
  </si>
  <si>
    <t>深圳微起伏鼻 皮相逆袭骨相 颜值从拉到夯！</t>
  </si>
  <si>
    <t>LB-133.jpg</t>
  </si>
  <si>
    <t>LB-134.jpg</t>
  </si>
  <si>
    <t>LB-135.jpg</t>
  </si>
  <si>
    <t>LB-136.jpg</t>
  </si>
  <si>
    <t>do鼻后只喜欢素颜出门！</t>
  </si>
  <si>
    <t>LB-137.jpg</t>
  </si>
  <si>
    <t>超自然的直鼻微翘微起伏～</t>
  </si>
  <si>
    <t>LB-138.jpg</t>
  </si>
  <si>
    <t>鼻子拉出面中后气质都变了！</t>
  </si>
  <si>
    <t>LB-139.jpg</t>
  </si>
  <si>
    <t>终于也有漂亮的鼻子了👃</t>
  </si>
  <si>
    <t>LB-140.jpg</t>
  </si>
  <si>
    <t>微起伏｜正面侧面都好看的鼻子！</t>
  </si>
  <si>
    <t>LB-141.jpg</t>
  </si>
  <si>
    <t>成都隆鼻|立体上镜轻松拿下</t>
  </si>
  <si>
    <t>LB-142.jpg</t>
  </si>
  <si>
    <t>成都上镜骨感鼻｜塑造权威侧颜</t>
  </si>
  <si>
    <t>LB-143.jpg</t>
  </si>
  <si>
    <t>3步！轻松打造高级立体的骨感鼻</t>
  </si>
  <si>
    <t>LB-144.jpg</t>
  </si>
  <si>
    <t>成都上镜骨感鼻|立体高级，妈生自然～</t>
  </si>
  <si>
    <t>LB-145.jpg</t>
  </si>
  <si>
    <t>LB-146.jpg</t>
  </si>
  <si>
    <t>LB-147.jpg</t>
  </si>
  <si>
    <t>LB-148.jpg</t>
  </si>
  <si>
    <t>原来短塌鼻对于侧颜的影响这么大啊！！</t>
  </si>
  <si>
    <t>LB-149.jpg</t>
  </si>
  <si>
    <t>LB-150.jpg</t>
  </si>
  <si>
    <t>侧颜逆袭‼️月亮脸终于有救了…</t>
  </si>
  <si>
    <t>LB-151.jpg</t>
  </si>
  <si>
    <t>当面中凹陷决定去做鼻子……</t>
  </si>
  <si>
    <t>LB-152.jpg</t>
  </si>
  <si>
    <t>下巴设计I凸嘴直接干成高冷美女…</t>
  </si>
  <si>
    <t>LB-153.jpg</t>
  </si>
  <si>
    <t>天呐！鼻子挛缩成这样到底该怎么办？</t>
  </si>
  <si>
    <t>LB-154.jpg</t>
  </si>
  <si>
    <t>当面中凹陷决定去do鼻！👃</t>
  </si>
  <si>
    <t>LB-155.jpg</t>
  </si>
  <si>
    <t>当我用韩女审美来设计自己的鼻子</t>
  </si>
  <si>
    <t>LB-156.jpg</t>
  </si>
  <si>
    <t>谁懂高级感骨相鼻的👃美学思路～</t>
  </si>
  <si>
    <t>LB-157.jpg</t>
  </si>
  <si>
    <t>原来面中凹陷对颜值的影响这么大...</t>
  </si>
  <si>
    <t>LB-158.jpg</t>
  </si>
  <si>
    <t>骨相感鼻👃</t>
  </si>
  <si>
    <t>LB-159.jpg</t>
  </si>
  <si>
    <t>不填充拉出面中思路</t>
  </si>
  <si>
    <t>LB-160.jpg</t>
  </si>
  <si>
    <t>一个幼态又气质的鼻子应具备哪些特点？</t>
  </si>
  <si>
    <t>zs-001.jpg</t>
  </si>
  <si>
    <t>全脸韧带提升|1ml小剂量如何实现大效果</t>
  </si>
  <si>
    <t>zs-002.jpg</t>
  </si>
  <si>
    <t>哈尔滨抗衰微调提升遇到她!简直太香了~</t>
  </si>
  <si>
    <t>zs-003.jpg</t>
  </si>
  <si>
    <t>她审美太绝了吧，不枉费12小时上海飞深圳!</t>
  </si>
  <si>
    <t>zs-004.jpg</t>
  </si>
  <si>
    <t>山东人从不弄虚作假!微调福利~限时开启</t>
  </si>
  <si>
    <t>zs-005.jpg</t>
  </si>
  <si>
    <t>网上看一百个案例，不如线下面诊一次</t>
  </si>
  <si>
    <t>zs-006.jpg</t>
  </si>
  <si>
    <t>30而立进京皮贴骨|很迷人因为她擅长做自已</t>
  </si>
  <si>
    <t>zs-007.jpg</t>
  </si>
  <si>
    <t>这位北二环70年捏脸战神超🐮谁还去别地啊</t>
  </si>
  <si>
    <t>zs-008.jpg</t>
  </si>
  <si>
    <t>从下巴后缩小肉脸到大帅踢，这双手太权威了</t>
  </si>
  <si>
    <t>zs-009.jpg</t>
  </si>
  <si>
    <t>所以，谁才是微调界的神!</t>
  </si>
  <si>
    <t>zs-010.jpg</t>
  </si>
  <si>
    <t>第①视角体验当捏脸大师!垮脸收紧</t>
  </si>
  <si>
    <t>zs-011.jpg</t>
  </si>
  <si>
    <t>短鼻朝天鼻，1支延长鼻尖，抬高鼻背~</t>
  </si>
  <si>
    <t>zs-012.jpg</t>
  </si>
  <si>
    <t>1.5ml/支的Radiesse，这样打一滴都不浪费!</t>
  </si>
  <si>
    <t>zs-013.jpg</t>
  </si>
  <si>
    <t>口角囊袋、法令纹，这样打就平了!</t>
  </si>
  <si>
    <t>zs-014.jpg</t>
  </si>
  <si>
    <t>脸垮才打?你错得离谱</t>
  </si>
  <si>
    <t>zs-015.jpg</t>
  </si>
  <si>
    <t>塑妍萃百支大师|有效抗衰思路详细解析!!</t>
  </si>
  <si>
    <t>zs-016.jpg</t>
  </si>
  <si>
    <t>天后童颜塑妍萃的全脸高收益打法~</t>
  </si>
  <si>
    <t>zs-017.jpg</t>
  </si>
  <si>
    <t>轻盈灵动感|瑞蓝定采限时特惠</t>
  </si>
  <si>
    <t>zs-018.jpg</t>
  </si>
  <si>
    <t>苏州微调绝了!素颜都巨好看</t>
  </si>
  <si>
    <t>zs-019.jpg</t>
  </si>
  <si>
    <t>李花停的眼睛就是尺</t>
  </si>
  <si>
    <t>zs-020.jpg</t>
  </si>
  <si>
    <t>宁波轮廓眼周微调，小剂量就ok!</t>
  </si>
  <si>
    <t>zs-021.jpg</t>
  </si>
  <si>
    <t>口周松垮垂?动态支撑网实现口周年轻</t>
  </si>
  <si>
    <t>zs-022.jpg</t>
  </si>
  <si>
    <t>口周抗衰用什么材料扛得住?</t>
  </si>
  <si>
    <t>zs-023.jpg</t>
  </si>
  <si>
    <t>30+面部松垮垂|塑妍萃快速提升上镜皮贴骨</t>
  </si>
  <si>
    <t>zs-024.jpg</t>
  </si>
  <si>
    <t>口周衰老别盲目填，这可是张“动态网”</t>
  </si>
  <si>
    <t>zs-025.jpg</t>
  </si>
  <si>
    <t>塑妍萃vs优法兰🔥看完这3点再不纠结</t>
  </si>
  <si>
    <t>zs-026.jpg</t>
  </si>
  <si>
    <t>干皮、细纹、暗沉!就这个组合!</t>
  </si>
  <si>
    <t>zs-027.jpg</t>
  </si>
  <si>
    <t>眼周抗衰新武器一上瘾红来啦!</t>
  </si>
  <si>
    <t>zs-028.jpg</t>
  </si>
  <si>
    <t>沈阳微调的故事在此刻开启</t>
  </si>
  <si>
    <t>zs-029.jpg</t>
  </si>
  <si>
    <t>小预算也能全脸轮廓提升 还原年轻态~</t>
  </si>
  <si>
    <t>zs-030.jpg</t>
  </si>
  <si>
    <t>上海聂婕|微调顶~流</t>
  </si>
  <si>
    <t>zs-031.jpg</t>
  </si>
  <si>
    <t>伊妍仕微do打造高级脸|核心方案大揭秘</t>
  </si>
  <si>
    <t>zs-032.jpg</t>
  </si>
  <si>
    <t>自然高级脸调整思路</t>
  </si>
  <si>
    <t>zs-033.jpg</t>
  </si>
  <si>
    <t>补水≠抗衰!为何我对艾维岚“上瘾”</t>
  </si>
  <si>
    <t>zs-034.jpg</t>
  </si>
  <si>
    <t>zs-035.jpg</t>
  </si>
  <si>
    <t>这已经是大叔祛油最简单的方法了!</t>
  </si>
  <si>
    <t>zs-036.jpg</t>
  </si>
  <si>
    <t>为什么说它是抗衰的重要利器</t>
  </si>
  <si>
    <t>zs-037.jpg</t>
  </si>
  <si>
    <t>你觉得网红脸好看吗?</t>
  </si>
  <si>
    <t>zs-038.jpg</t>
  </si>
  <si>
    <t>快看看你中了哪一条?</t>
  </si>
  <si>
    <t>zs-039.jpg</t>
  </si>
  <si>
    <t>深圳微调|用色调打开我的高定原生美学</t>
  </si>
  <si>
    <t>zs-040.jpg</t>
  </si>
  <si>
    <t>2026爆火🔥抗衰新科技!垮脸界的救星</t>
  </si>
  <si>
    <t>zs-041.jpg</t>
  </si>
  <si>
    <t>北京美美|皮贴骨才是垮脸抗衰的正确思路</t>
  </si>
  <si>
    <t>zs-042.jpg</t>
  </si>
  <si>
    <t>30+骨相进阶公式</t>
  </si>
  <si>
    <t>zs-043.jpg</t>
  </si>
  <si>
    <t>富婆同款塑妍萃全脸提升方案 心告别松垮垂</t>
  </si>
  <si>
    <t>zs-044.jpg</t>
  </si>
  <si>
    <t>肉眼看面部立体，但上镜却不够立体....</t>
  </si>
  <si>
    <t>zs-045.jpg</t>
  </si>
  <si>
    <t>想做塑妍萃怕肿?先看这篇内容!</t>
  </si>
  <si>
    <t>zs-046.jpg</t>
  </si>
  <si>
    <t>塑妍萃打完就消了?我的胶原呢?</t>
  </si>
  <si>
    <t>zs-047.jpg</t>
  </si>
  <si>
    <t>北京皮贴骨|肉肉脸打薄必看</t>
  </si>
  <si>
    <t>zs-048.jpg</t>
  </si>
  <si>
    <t>阔面脸+高颧骨?4步高级骨相!</t>
  </si>
  <si>
    <t>zs-049.jpg</t>
  </si>
  <si>
    <t>行医底线，就是守住顾客的信任</t>
  </si>
  <si>
    <t>zs-050.jpg</t>
  </si>
  <si>
    <t>如果微调只是填充，和水泥抹墙有什么区别?</t>
  </si>
  <si>
    <t>zs-051.jpg</t>
  </si>
  <si>
    <t>宁波微调|这才是疲态脸上镜思路</t>
  </si>
  <si>
    <t>zs-052.jpg</t>
  </si>
  <si>
    <t>28+轻薄骨相脸微do思路</t>
  </si>
  <si>
    <t>zs-053.jpg</t>
  </si>
  <si>
    <t>建模身材当然要配[建模脸】啊!</t>
  </si>
  <si>
    <t>zs-054.jpg</t>
  </si>
  <si>
    <t>没想到有一天素颜也可以这么好看!</t>
  </si>
  <si>
    <t>zs-055.jpg</t>
  </si>
  <si>
    <t>高原的高是高级的高，微调界又多一张超模脸</t>
  </si>
  <si>
    <t>zs-056.jpg</t>
  </si>
  <si>
    <t>2026全网即将流行抗衰新技术--六维联合抗衰</t>
  </si>
  <si>
    <t>zs-057.jpg</t>
  </si>
  <si>
    <t>一瓶塑颜萃实现全脸紧致提升!</t>
  </si>
  <si>
    <t>zs-058.jpg</t>
  </si>
  <si>
    <t>zs-059.jpg</t>
  </si>
  <si>
    <t>不垮脸思路|长脸松垮垂如何改善?</t>
  </si>
  <si>
    <t>zs-060.jpg</t>
  </si>
  <si>
    <t>各ip都要奔赴杭州的殿堂级微调是什么样的?</t>
  </si>
  <si>
    <t>zs-061.jpg</t>
  </si>
  <si>
    <t>怪不得全国博主都爱飞成都!微调审美太超前</t>
  </si>
  <si>
    <t>zs-062.jpg</t>
  </si>
  <si>
    <t>成都骨相微调天花板，真的有点东西!</t>
  </si>
  <si>
    <t>zs-063.jpg</t>
  </si>
  <si>
    <t>上海微调真有点东西，2支就能重返18岁?</t>
  </si>
  <si>
    <t>zs-064.jpg</t>
  </si>
  <si>
    <t>所以，谁才是上海注射圈的神?!</t>
  </si>
  <si>
    <t>zs-065.jpg</t>
  </si>
  <si>
    <t>阔面方圆脸的变美思路，看这一篇就够了~~</t>
  </si>
  <si>
    <t>zs-066.jpg</t>
  </si>
  <si>
    <t>才30+眼睛就松垮垂了?黑眼圈泪沟一次改善</t>
  </si>
  <si>
    <t>zs-067.jpg</t>
  </si>
  <si>
    <t>2026全脸抗衰新方式!提升紧致塑形一步到位</t>
  </si>
  <si>
    <t>zs-068.jpg</t>
  </si>
  <si>
    <t>上瘾红为啥是医美万金油?4种搭配来揭秘</t>
  </si>
  <si>
    <t>zs-069.jpg</t>
  </si>
  <si>
    <t>动态支撑网|更高阶的口周打法</t>
  </si>
  <si>
    <t>zs-070.jpg</t>
  </si>
  <si>
    <t>塑妍萃打前完全攻略指南~</t>
  </si>
  <si>
    <t>zs-071.jpg</t>
  </si>
  <si>
    <t>上海郭敬松|微调顶~流</t>
  </si>
  <si>
    <t>zs-072.jpg</t>
  </si>
  <si>
    <t>难怪都跑到成都找她!微调真的很权威啊!</t>
  </si>
  <si>
    <t>zs-073.jpg</t>
  </si>
  <si>
    <t>深圳微调“圣手“高级自然感拿捏~</t>
  </si>
  <si>
    <t>zs-074.jpg</t>
  </si>
  <si>
    <t>谷亦涵|来北京捏脸的百万博主们都找她!</t>
  </si>
  <si>
    <t>zs-075.jpg</t>
  </si>
  <si>
    <t>不是...不叨叨也能爆改塌鼻子了吗!?</t>
  </si>
  <si>
    <t>zs-076.jpg</t>
  </si>
  <si>
    <t>遇到了北京微调界的神~</t>
  </si>
  <si>
    <t>zs-077.jpg</t>
  </si>
  <si>
    <t>广州微调mvp结算，要的就是妈生感</t>
  </si>
  <si>
    <t>zs-078.jpg</t>
  </si>
  <si>
    <t>方圆肉肉脸天选微调圣体，不刀刀变窄脸</t>
  </si>
  <si>
    <t>zs-079.jpg</t>
  </si>
  <si>
    <t>南京都有谁在啊!怎么都来南京找吴文欢?</t>
  </si>
  <si>
    <t>zs-080.jpg</t>
  </si>
  <si>
    <t>款款同款大眼术!秒变上镜脸</t>
  </si>
  <si>
    <t>zs-081.jpg</t>
  </si>
  <si>
    <t>zs-082.jpg</t>
  </si>
  <si>
    <t>在厦门，塑妍萃童颜微调，原生高级脸封神</t>
  </si>
  <si>
    <t>zs-083.jpg</t>
  </si>
  <si>
    <t>童颜省量抗衰!10条核心韧带全脸紧致提升!!</t>
  </si>
  <si>
    <t>zs-084.jpg</t>
  </si>
  <si>
    <t>仅需4步|阔面 窄面，骨相浓颜脸打造</t>
  </si>
  <si>
    <t>zs-085.jpg</t>
  </si>
  <si>
    <t>疲惫垮脸到高级上镜 真就轻轻松松</t>
  </si>
  <si>
    <t>zs-086.jpg</t>
  </si>
  <si>
    <t>松弛凹陷，选对年轻又省自然提升抄作业!</t>
  </si>
  <si>
    <t>zs-087.jpg</t>
  </si>
  <si>
    <t>广州掌管面部微调的神要的就是高级紧致感</t>
  </si>
  <si>
    <t>zs-088.jpg</t>
  </si>
  <si>
    <t>成都微调miu系贵气千金感已偷偷藏不住!</t>
  </si>
  <si>
    <t>zs-089.jpg</t>
  </si>
  <si>
    <t>所有男生!都给我去服美役!</t>
  </si>
  <si>
    <t>zs-090.jpg</t>
  </si>
  <si>
    <t>脸垮救星塑妍萃?一个视频拆解清楚</t>
  </si>
  <si>
    <t>zs-091.jpg</t>
  </si>
  <si>
    <t>单次塑妍萃是播种，维养才是丰收的关键</t>
  </si>
  <si>
    <t>zs-092.jpg</t>
  </si>
  <si>
    <t>zs-093.jpg</t>
  </si>
  <si>
    <t>肉肉脸去土气，变轻薄高清上镜脸</t>
  </si>
  <si>
    <t>zs-094.jpg</t>
  </si>
  <si>
    <t>轻薄骨相脸微调思路</t>
  </si>
  <si>
    <t>zs-095.jpg</t>
  </si>
  <si>
    <t>十年精选3个点位，高性价比改善法令纹!</t>
  </si>
  <si>
    <t>zs-096.jpg</t>
  </si>
  <si>
    <t>请把视频推给想要变美的姐妹!审美好权威!</t>
  </si>
  <si>
    <t>zs-097.jpg</t>
  </si>
  <si>
    <t>30+抗衰指南|垮脸抗衰的正确思路!</t>
  </si>
  <si>
    <t>zs-098.jpg</t>
  </si>
  <si>
    <t>深圳微调|年后爆改拿捏浓颜千金脸~</t>
  </si>
  <si>
    <t>zs-099.jpg</t>
  </si>
  <si>
    <t>高性比抗衰1 次改善皮肉分离</t>
  </si>
  <si>
    <t>zs-100.jpg</t>
  </si>
  <si>
    <t>揭秘!Sculptra一瓶真的能压实口周吗?</t>
  </si>
  <si>
    <t>zs-101.jpg</t>
  </si>
  <si>
    <t>人气短剧大女主，微do大公开~</t>
  </si>
  <si>
    <t>zs-102.jpg</t>
  </si>
  <si>
    <t>不移位!0.3ml终结鼻基底凹陷</t>
  </si>
  <si>
    <t>zs-103.jpg</t>
  </si>
  <si>
    <t>哦莫?又被疯狂表白了!</t>
  </si>
  <si>
    <t>zs-104.jpg</t>
  </si>
  <si>
    <t>不叨叨一个点位，改善4大垮脸问题~</t>
  </si>
  <si>
    <t>zs-105.jpg</t>
  </si>
  <si>
    <t>菱形脸短下巴姐妹，高效变美思路!!</t>
  </si>
  <si>
    <t>zs-106.jpg</t>
  </si>
  <si>
    <t>杭州微调|小剂量拯救法令纹，自然不假面</t>
  </si>
  <si>
    <t>zs-107.jpg</t>
  </si>
  <si>
    <t>年前垮脸回春，口周问题一次解决~</t>
  </si>
  <si>
    <t>zs-108.jpg</t>
  </si>
  <si>
    <t>深圳微调|不叨叨调出刀锋下颌线</t>
  </si>
  <si>
    <t>zs-109.jpg</t>
  </si>
  <si>
    <t>为什么同样是注射，你打完脸反而大了</t>
  </si>
  <si>
    <t>zs-110.jpg</t>
  </si>
  <si>
    <t>把立体上镜脸打造思路学了</t>
  </si>
  <si>
    <t>zs-111.jpg</t>
  </si>
  <si>
    <t>zs-112.jpg</t>
  </si>
  <si>
    <t>2026年全脸抗衰新方式|30分钟"午休变美”</t>
  </si>
  <si>
    <t>zs-113.jpg</t>
  </si>
  <si>
    <t>第1️⃣视角体验当捏脸大师！垮脸收紧</t>
  </si>
  <si>
    <t>130.7万</t>
  </si>
  <si>
    <t>19.0万</t>
  </si>
  <si>
    <t>zs-114.jpg</t>
  </si>
  <si>
    <t>她们的攻击声好大啊~ 差点，盖过我的意志</t>
  </si>
  <si>
    <t>103.2万</t>
  </si>
  <si>
    <t>10.7万</t>
  </si>
  <si>
    <t>zs-115.jpg</t>
  </si>
  <si>
    <t>一镜到底 ❗️ 35+宝妈垮脸逆袭~</t>
  </si>
  <si>
    <t>60.1万</t>
  </si>
  <si>
    <t>60.8万</t>
  </si>
  <si>
    <t>zs-116.jpg</t>
  </si>
  <si>
    <t>方圆脸瘦脸，只需要这三条线！</t>
  </si>
  <si>
    <t>310.9万</t>
  </si>
  <si>
    <t>10.2万</t>
  </si>
  <si>
    <t>zs-117.jpg</t>
  </si>
  <si>
    <t>第1️⃣视角改善口角囊袋 外轮廓紧致上扬</t>
  </si>
  <si>
    <t>65.2万</t>
  </si>
  <si>
    <t>12.4万</t>
  </si>
  <si>
    <t>zs-118.jpg</t>
  </si>
  <si>
    <t>自带光芒的第一眼美女感，真的有底层框架</t>
  </si>
  <si>
    <t>43.9万</t>
  </si>
  <si>
    <t>4.7万</t>
  </si>
  <si>
    <t>zs-119.jpg</t>
  </si>
  <si>
    <t>【全英实录】Contour Lift Filler 轮廓提升</t>
  </si>
  <si>
    <t>43.2万</t>
  </si>
  <si>
    <t>5.2万</t>
  </si>
  <si>
    <t>zs-120.jpg</t>
  </si>
  <si>
    <t>不想叨叨？小剂量实现妈生鼻！</t>
  </si>
  <si>
    <t>42.4万</t>
  </si>
  <si>
    <t>3.2万</t>
  </si>
  <si>
    <t>zs-121.jpg</t>
  </si>
  <si>
    <t>韩国面部抗衰新科技，实现自然妈生变美~</t>
  </si>
  <si>
    <t>106.3万</t>
  </si>
  <si>
    <t>29.8万</t>
  </si>
  <si>
    <t>zs-122.jpg</t>
  </si>
  <si>
    <t>成为杭州顶帅，真没想到这么简单！</t>
  </si>
  <si>
    <t>39.0万</t>
  </si>
  <si>
    <t>4.5万</t>
  </si>
  <si>
    <t>zs-123.jpg</t>
  </si>
  <si>
    <t>30+贵价抗衰？要的是平整 协调 耐看</t>
  </si>
  <si>
    <t>110.4万</t>
  </si>
  <si>
    <t>9.2万</t>
  </si>
  <si>
    <t>zs-124.jpg</t>
  </si>
  <si>
    <t>像rose原来这么美~</t>
  </si>
  <si>
    <t>54.2万</t>
  </si>
  <si>
    <t>7.4万</t>
  </si>
  <si>
    <t>zs-125.jpg</t>
  </si>
  <si>
    <t>深圳医美，找陈雯婷就对了！</t>
  </si>
  <si>
    <t>968.4万</t>
  </si>
  <si>
    <t>34.2万</t>
  </si>
  <si>
    <t>zs-126.jpg</t>
  </si>
  <si>
    <t>30岁赴京提升皮贴骨｜很迷人 因为擅长做自已</t>
  </si>
  <si>
    <t>33.2万</t>
  </si>
  <si>
    <t>7.7万</t>
  </si>
  <si>
    <t>zs-127.jpg</t>
  </si>
  <si>
    <t>矮塌鼻3ml骨相妈生～</t>
  </si>
  <si>
    <t>258.5万</t>
  </si>
  <si>
    <t>51.6万</t>
  </si>
  <si>
    <t>zs-128.jpg</t>
  </si>
  <si>
    <t>高颧骨+方圆脸❗来感受下脸型变流畅的震撼</t>
  </si>
  <si>
    <t>29.1万</t>
  </si>
  <si>
    <t>6.1万</t>
  </si>
  <si>
    <t>zs-129.jpg</t>
  </si>
  <si>
    <t>肉肉脸收紧 2步内收下颌角❗️</t>
  </si>
  <si>
    <t>35.6万</t>
  </si>
  <si>
    <t>2.3万</t>
  </si>
  <si>
    <t>zs-130.jpg</t>
  </si>
  <si>
    <t>永远不要低估一个男生变帅的决心</t>
  </si>
  <si>
    <t>64.9万</t>
  </si>
  <si>
    <t>43.4万</t>
  </si>
  <si>
    <t>zs-131.jpg</t>
  </si>
  <si>
    <t>第1️⃣视角轮廓提升 皮贴骨的教科书</t>
  </si>
  <si>
    <t>27.8万</t>
  </si>
  <si>
    <t>10.4万</t>
  </si>
  <si>
    <t>zs-132.jpg</t>
  </si>
  <si>
    <t>鼻基底凹陷，这样打避免馒化移位！</t>
  </si>
  <si>
    <t>226.7万</t>
  </si>
  <si>
    <t>10.6万</t>
  </si>
  <si>
    <t>zs-133.jpg</t>
  </si>
  <si>
    <t>广州微调，找赵江辉就对了！</t>
  </si>
  <si>
    <t>199.0万</t>
  </si>
  <si>
    <t>14.5万</t>
  </si>
  <si>
    <t>zs-134.jpg</t>
  </si>
  <si>
    <t>290.3万</t>
  </si>
  <si>
    <t>11.5万</t>
  </si>
  <si>
    <t>zs-135.jpg</t>
  </si>
  <si>
    <t>方圆脸微调换头，四步让你上镜瘦十斤</t>
  </si>
  <si>
    <t>287.1万</t>
  </si>
  <si>
    <t>16.2万</t>
  </si>
  <si>
    <t>zs-136.jpg</t>
  </si>
  <si>
    <t>南京都有谁在啊！怎么都来南京找吴文欢？</t>
  </si>
  <si>
    <t>301.8万</t>
  </si>
  <si>
    <t>16.4万</t>
  </si>
  <si>
    <t>zs-137.jpg</t>
  </si>
  <si>
    <t>长这样有机会当练习生吗</t>
  </si>
  <si>
    <t>66.7万</t>
  </si>
  <si>
    <t>67.3万</t>
  </si>
  <si>
    <t>zs-138.jpg</t>
  </si>
  <si>
    <t>江浙沪严选捏脸大咖！轻松美出新高度～</t>
  </si>
  <si>
    <t>222.3万</t>
  </si>
  <si>
    <t>8.9万</t>
  </si>
  <si>
    <t>zs-139.jpg</t>
  </si>
  <si>
    <t>这才是普通人打完鼻眉弓得真实样子……</t>
  </si>
  <si>
    <t>39.8万</t>
  </si>
  <si>
    <t>2.8万</t>
  </si>
  <si>
    <t>zs-140.jpg</t>
  </si>
  <si>
    <t>zs-141.jpg</t>
  </si>
  <si>
    <t>第一视角提升💉皮贴骨你不用再等一世了！</t>
  </si>
  <si>
    <t>115.1万</t>
  </si>
  <si>
    <t>14.6万</t>
  </si>
  <si>
    <t>zs-142.jpg</t>
  </si>
  <si>
    <t>73.8万</t>
  </si>
  <si>
    <t>zs-143.jpg</t>
  </si>
  <si>
    <t>注射鼻合集，即刻自然妈生感</t>
  </si>
  <si>
    <t>66.3万</t>
  </si>
  <si>
    <t>8.0万</t>
  </si>
  <si>
    <t>zs-144.jpg</t>
  </si>
  <si>
    <t>普通男生微调，变化大吗？</t>
  </si>
  <si>
    <t>66.6万</t>
  </si>
  <si>
    <t>zs-145.jpg</t>
  </si>
  <si>
    <t>第1视角提升打薄💉终于皮贴骨了</t>
  </si>
  <si>
    <t>58.7万</t>
  </si>
  <si>
    <t>zs-146.jpg</t>
  </si>
  <si>
    <t>从小美到顶美是什么体验</t>
  </si>
  <si>
    <t>50.8万</t>
  </si>
  <si>
    <t>51.5万</t>
  </si>
  <si>
    <t>zs-147.jpg</t>
  </si>
  <si>
    <t>48.2万</t>
  </si>
  <si>
    <t>zs-148.jpg</t>
  </si>
  <si>
    <t>垮脸就打耳前韧带❗️第一视角微调实录</t>
  </si>
  <si>
    <t>56.9万</t>
  </si>
  <si>
    <t>46.9万</t>
  </si>
  <si>
    <t>zs-149.jpg</t>
  </si>
  <si>
    <t>zs-150.jpg</t>
  </si>
  <si>
    <t>相差12岁的情侣一起来do脸后……</t>
  </si>
  <si>
    <t>23.8万</t>
  </si>
  <si>
    <t>zs-151.jpg</t>
  </si>
  <si>
    <t>肉肉脸变紧致！调完脸歪了❓</t>
  </si>
  <si>
    <t>76.3万</t>
  </si>
  <si>
    <t>8.3万</t>
  </si>
  <si>
    <t>zs-152.jpg</t>
  </si>
  <si>
    <t>打耳前韧带前一定要知道的事...</t>
  </si>
  <si>
    <t>13.8万</t>
  </si>
  <si>
    <t>3.6万</t>
  </si>
  <si>
    <t>zs-153.jpg</t>
  </si>
  <si>
    <t>一篇讲清楚三款童颜的区别！</t>
  </si>
  <si>
    <t>75.9万</t>
  </si>
  <si>
    <t>15.0万</t>
  </si>
  <si>
    <t>zs-154.jpg</t>
  </si>
  <si>
    <t>鼻注射&amp;塑骨相4️⃣种骨性材料到底怎么选？</t>
  </si>
  <si>
    <t>22.5万</t>
  </si>
  <si>
    <t>5.0万</t>
  </si>
  <si>
    <t>zs-155.jpg</t>
  </si>
  <si>
    <t>眉弓，我愿称之为骨相美女的秘密</t>
  </si>
  <si>
    <t>71.1万</t>
  </si>
  <si>
    <t>14.2万</t>
  </si>
  <si>
    <t>zs-156.jpg</t>
  </si>
  <si>
    <t>打鼻子，选什么材料？不变宽不移位！管的久</t>
  </si>
  <si>
    <t>6.4万</t>
  </si>
  <si>
    <t>zs-157.jpg</t>
  </si>
  <si>
    <t>石家庄超百万粉丝博主阿美也来do脸啦~</t>
  </si>
  <si>
    <t>106.0万</t>
  </si>
  <si>
    <t>zs-158.jpg</t>
  </si>
  <si>
    <t>不多说 展示</t>
  </si>
  <si>
    <t>93.1万</t>
  </si>
  <si>
    <t>47.0万</t>
  </si>
  <si>
    <t>zs-159.jpg</t>
  </si>
  <si>
    <t>为什么说…这就是注射抗衰的归宿？</t>
  </si>
  <si>
    <t>100.5万</t>
  </si>
  <si>
    <t>11.8万</t>
  </si>
  <si>
    <t>zs-160.jpg</t>
  </si>
  <si>
    <t>131.2万</t>
  </si>
  <si>
    <t>19.1万</t>
  </si>
  <si>
    <t>zs-161.jpg</t>
  </si>
  <si>
    <t>第1视角打出下颌线💉提升外轮廓</t>
  </si>
  <si>
    <t>104.9万</t>
  </si>
  <si>
    <t>10.8万</t>
  </si>
  <si>
    <t>zs-162.jpg</t>
  </si>
  <si>
    <t>第一视角打出下颌线，提升外轮廓</t>
  </si>
  <si>
    <t>107.4万</t>
  </si>
  <si>
    <t>12.6万</t>
  </si>
  <si>
    <t>zs-163.jpg</t>
  </si>
  <si>
    <t>大脸变小微调 夯爆了</t>
  </si>
  <si>
    <t>99.9万</t>
  </si>
  <si>
    <t>4.6万</t>
  </si>
  <si>
    <t>zs-164.jpg</t>
  </si>
  <si>
    <t>推给土象！biu出来的“微醺少年感”</t>
  </si>
  <si>
    <t>68.2万</t>
  </si>
  <si>
    <t>11.7万</t>
  </si>
  <si>
    <t>zs-165.jpg</t>
  </si>
  <si>
    <t>矮塌鼻？短鼻？蒜头鼻？如何改善告诉你～</t>
  </si>
  <si>
    <t>102.0万</t>
  </si>
  <si>
    <t>15.2万</t>
  </si>
  <si>
    <t>zs-166.jpg</t>
  </si>
  <si>
    <t>和住在楼上的阿美双向奔赴，不用再p图啦~</t>
  </si>
  <si>
    <t>50.4万</t>
  </si>
  <si>
    <t>6.7万</t>
  </si>
  <si>
    <t>zs-167.jpg</t>
  </si>
  <si>
    <t>2分钟讲清，她是怎么把苹果肌藏起来的…</t>
  </si>
  <si>
    <t>102.3万</t>
  </si>
  <si>
    <t>12.1万</t>
  </si>
  <si>
    <t>zs-168.jpg</t>
  </si>
  <si>
    <t>我可能不会爱你，但do脸可以陪你</t>
  </si>
  <si>
    <t>82.5万</t>
  </si>
  <si>
    <t>20.5万</t>
  </si>
  <si>
    <t>zs-169.jpg</t>
  </si>
  <si>
    <t>张凌赫——能统一男女审美的脸有多权威？</t>
  </si>
  <si>
    <t>72.0万</t>
  </si>
  <si>
    <t>49.2万</t>
  </si>
  <si>
    <t>zs-170.jpg</t>
  </si>
  <si>
    <t>十年前打童颜的人，现在怎么样了？</t>
  </si>
  <si>
    <t>59.5万</t>
  </si>
  <si>
    <t>6.6万</t>
  </si>
  <si>
    <t>zs-171.jpg</t>
  </si>
  <si>
    <t>博主严选！广州掌管微调初恋脸的神~</t>
  </si>
  <si>
    <t>23.0万</t>
  </si>
  <si>
    <t>2.9万</t>
  </si>
  <si>
    <t>zs-172.jpg</t>
  </si>
  <si>
    <t>合肥| 眼周年轻化的顶流是怎么做到的？</t>
  </si>
  <si>
    <t>100.9万</t>
  </si>
  <si>
    <t>zs-173.jpg</t>
  </si>
  <si>
    <t>广州找江辉骨相微调…夯级审美！</t>
  </si>
  <si>
    <t>25.6万</t>
  </si>
  <si>
    <t>4.3万</t>
  </si>
  <si>
    <t>zs-174.jpg</t>
  </si>
  <si>
    <t>肉脸松垮如何抗衰微调❓</t>
  </si>
  <si>
    <t>86.4万</t>
  </si>
  <si>
    <t>87.6万</t>
  </si>
  <si>
    <t>zs-175.jpg</t>
  </si>
  <si>
    <t>选对方式变美真的可以没有尴尬期！</t>
  </si>
  <si>
    <t>92.9万</t>
  </si>
  <si>
    <t>8.7万</t>
  </si>
  <si>
    <t>zs-176.jpg</t>
  </si>
  <si>
    <t>是牙牙哇~为了上镜真的拼了！！</t>
  </si>
  <si>
    <t>73.5万</t>
  </si>
  <si>
    <t>zs-177.jpg</t>
  </si>
  <si>
    <t>方圆脸千万别打咬肌！2步不叨叨变窄脸</t>
  </si>
  <si>
    <t>34.9万</t>
  </si>
  <si>
    <t>1.8万</t>
  </si>
  <si>
    <t>zs-178.jpg</t>
  </si>
  <si>
    <t>只提不填！这样打法令纹不馒化不移位✅️</t>
  </si>
  <si>
    <t>55.7万</t>
  </si>
  <si>
    <t>10.0万</t>
  </si>
  <si>
    <t>zs-179.jpg</t>
  </si>
  <si>
    <t>喜提小窄脸，方圆脸的瘦脸邪修法</t>
  </si>
  <si>
    <t>186.9万</t>
  </si>
  <si>
    <t>160.8万</t>
  </si>
  <si>
    <t>zs-180.jpg</t>
  </si>
  <si>
    <t>骨相鼻注射，贝丽菲尔打造半永久骨相</t>
  </si>
  <si>
    <t>218.2万</t>
  </si>
  <si>
    <t>40.1万</t>
  </si>
  <si>
    <t>zs-181.jpg</t>
  </si>
  <si>
    <t>广州微调来对了 ✌🏻</t>
  </si>
  <si>
    <t>62.5万</t>
  </si>
  <si>
    <t>2.7万</t>
  </si>
  <si>
    <t>zs-182.jpg</t>
  </si>
  <si>
    <t>广州微调mvp结算</t>
  </si>
  <si>
    <t>181.9万</t>
  </si>
  <si>
    <t>5.4万</t>
  </si>
  <si>
    <t>zs-183.jpg</t>
  </si>
  <si>
    <t>200.2万</t>
  </si>
  <si>
    <t>zs-184.jpg</t>
  </si>
  <si>
    <t>970.8万</t>
  </si>
  <si>
    <t>34.3万</t>
  </si>
  <si>
    <t>zs-185.jpg</t>
  </si>
  <si>
    <t>面部提升丨抗衰美学分享</t>
  </si>
  <si>
    <t>96.4万</t>
  </si>
  <si>
    <t>zs-186.jpg</t>
  </si>
  <si>
    <t>变美的意义到底是什么？</t>
  </si>
  <si>
    <t>98.1万</t>
  </si>
  <si>
    <t>13.1万</t>
  </si>
  <si>
    <t>zs-187.jpg</t>
  </si>
  <si>
    <t>尽管来抄！面部提升正确思路🈶️</t>
  </si>
  <si>
    <t>20.8万</t>
  </si>
  <si>
    <t>zs-188.jpg</t>
  </si>
  <si>
    <t>啊啊啊!!!这个微调真的爱了</t>
  </si>
  <si>
    <t>67.0万</t>
  </si>
  <si>
    <t>4.2万</t>
  </si>
  <si>
    <t>zs-189.jpg</t>
  </si>
  <si>
    <t>矮塌鼻注射抬高，现在立体了吗</t>
  </si>
  <si>
    <t>zs-190.jpg</t>
  </si>
  <si>
    <t>面中凹陷？如何拉面中？一篇告诉你</t>
  </si>
  <si>
    <t>9.0万</t>
  </si>
  <si>
    <t>zs-191.jpg</t>
  </si>
  <si>
    <t>请允许我们肉肉脸有自己的变美法则</t>
  </si>
  <si>
    <t>85.3万</t>
  </si>
  <si>
    <t>9.1万</t>
  </si>
  <si>
    <t>字段</t>
  </si>
  <si>
    <t>是否必填</t>
  </si>
  <si>
    <t>说明</t>
  </si>
  <si>
    <t>示例</t>
  </si>
  <si>
    <t>必填</t>
  </si>
  <si>
    <t>封面图片文件名，图片放在 data/images/。</t>
  </si>
  <si>
    <t>001.jpg</t>
  </si>
  <si>
    <t>真实点击率百分比，填 8.6 代表 8.6%。</t>
  </si>
  <si>
    <t>8.6</t>
  </si>
  <si>
    <t>建议</t>
  </si>
  <si>
    <t>笔记标题或封面核心大字标题。</t>
  </si>
  <si>
    <t>热玛吉术前避坑清单</t>
  </si>
  <si>
    <t>医美细分项目。</t>
  </si>
  <si>
    <t>热玛吉/抗衰</t>
  </si>
  <si>
    <t>封面是否有人物主体。</t>
  </si>
  <si>
    <t>是</t>
  </si>
  <si>
    <t>是否有真实前后对比或结果展示。</t>
  </si>
  <si>
    <t>否</t>
  </si>
  <si>
    <t>可选</t>
  </si>
  <si>
    <t>账号类型，用于后续分组分析。</t>
  </si>
  <si>
    <t>机构号</t>
  </si>
  <si>
    <t>强烈建议</t>
  </si>
  <si>
    <t>真实曝光量。</t>
  </si>
  <si>
    <t>12000</t>
  </si>
  <si>
    <t>真实点击量。</t>
  </si>
  <si>
    <t>1296</t>
  </si>
  <si>
    <t>笔记发布时间。</t>
  </si>
  <si>
    <t>2026-05-01</t>
  </si>
  <si>
    <t>笔记链接或内部素材链接。</t>
  </si>
  <si>
    <t>https://...</t>
  </si>
  <si>
    <t>样本来源。</t>
  </si>
  <si>
    <t>历史样本</t>
  </si>
  <si>
    <t>设计师或负责人。</t>
  </si>
  <si>
    <t>小王</t>
  </si>
  <si>
    <t>数据状态。</t>
  </si>
  <si>
    <t>已入库</t>
  </si>
  <si>
    <t>备注。</t>
  </si>
  <si>
    <t>投流样本/自然流量样本</t>
  </si>
  <si>
    <t>是否选项</t>
  </si>
  <si>
    <t>账号类型</t>
  </si>
  <si>
    <t>状态</t>
  </si>
  <si>
    <t>常见项目</t>
  </si>
  <si>
    <t>待补数据</t>
  </si>
  <si>
    <t>医生号</t>
  </si>
  <si>
    <t>水光针</t>
  </si>
  <si>
    <t/>
  </si>
  <si>
    <t>达人号</t>
  </si>
  <si>
    <t>排除</t>
  </si>
  <si>
    <t>光子嫩肤</t>
  </si>
  <si>
    <t>品牌号</t>
  </si>
  <si>
    <t>祛斑</t>
  </si>
  <si>
    <t>代运营</t>
  </si>
  <si>
    <t>面诊</t>
  </si>
  <si>
    <t>敏感肌</t>
  </si>
  <si>
    <t>法令纹</t>
  </si>
  <si>
    <t>瘦脸</t>
  </si>
  <si>
    <t>术后护理</t>
  </si>
  <si>
    <t>预算规划</t>
  </si>
  <si>
    <t>其他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</si>
</sst>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  <numFmt numFmtId="177" formatCode="yyyy\-mm\-dd"/>
    <numFmt numFmtId="178" formatCode="0.0%"/>
  </numFmts>
  <fonts count="26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000000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8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1D2129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B7EB9E"/>
        <bgColor indexed="64"/>
      </patternFill>
    </fill>
    <fill>
      <patternFill patternType="solid">
        <fgColor rgb="FF86EFAC"/>
        <bgColor indexed="64"/>
      </patternFill>
    </fill>
    <fill>
      <patternFill patternType="solid">
        <fgColor rgb="FFFCCE94"/>
        <bgColor indexed="64"/>
      </patternFill>
    </fill>
    <fill>
      <patternFill patternType="solid">
        <fgColor rgb="FFFCDE8E"/>
        <bgColor indexed="64"/>
      </patternFill>
    </fill>
    <fill>
      <patternFill patternType="solid">
        <fgColor rgb="FFFCB89E"/>
        <bgColor indexed="64"/>
      </patternFill>
    </fill>
    <fill>
      <patternFill patternType="solid">
        <fgColor rgb="FFEEE78E"/>
        <bgColor indexed="64"/>
      </patternFill>
    </fill>
    <fill>
      <patternFill patternType="solid">
        <fgColor rgb="FFDCE893"/>
        <bgColor indexed="64"/>
      </patternFill>
    </fill>
    <fill>
      <patternFill patternType="solid">
        <fgColor rgb="FFFCA5A5"/>
        <bgColor indexed="64"/>
      </patternFill>
    </fill>
    <fill>
      <patternFill patternType="solid">
        <fgColor rgb="FFEBF1F8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E9415A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6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7" borderId="8" applyNumberFormat="0" applyAlignment="0" applyProtection="0">
      <alignment vertical="center"/>
    </xf>
    <xf numFmtId="0" fontId="16" fillId="18" borderId="9" applyNumberFormat="0" applyAlignment="0" applyProtection="0">
      <alignment vertical="center"/>
    </xf>
    <xf numFmtId="0" fontId="17" fillId="18" borderId="8" applyNumberFormat="0" applyAlignment="0" applyProtection="0">
      <alignment vertical="center"/>
    </xf>
    <xf numFmtId="0" fontId="18" fillId="19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24" fillId="46" borderId="0" applyNumberFormat="0" applyBorder="0" applyAlignment="0" applyProtection="0">
      <alignment vertical="center"/>
    </xf>
    <xf numFmtId="0" fontId="0" fillId="0" borderId="0"/>
  </cellStyleXfs>
  <cellXfs count="33">
    <xf numFmtId="0" fontId="0" fillId="0" borderId="0" xfId="49"/>
    <xf numFmtId="0" fontId="1" fillId="2" borderId="0" xfId="49" applyNumberFormat="1" applyFont="1" applyFill="1" applyBorder="1" applyAlignment="1">
      <alignment wrapText="1"/>
    </xf>
    <xf numFmtId="176" fontId="1" fillId="2" borderId="0" xfId="49" applyNumberFormat="1" applyFont="1" applyFill="1" applyBorder="1" applyAlignment="1">
      <alignment wrapText="1"/>
    </xf>
    <xf numFmtId="3" fontId="1" fillId="2" borderId="0" xfId="49" applyNumberFormat="1" applyFont="1" applyFill="1" applyBorder="1" applyAlignment="1">
      <alignment wrapText="1"/>
    </xf>
    <xf numFmtId="177" fontId="1" fillId="2" borderId="0" xfId="49" applyNumberFormat="1" applyFont="1" applyFill="1" applyBorder="1" applyAlignment="1">
      <alignment wrapText="1"/>
    </xf>
    <xf numFmtId="0" fontId="2" fillId="3" borderId="1" xfId="0" applyFont="1" applyFill="1" applyBorder="1" applyAlignment="1">
      <alignment horizontal="center"/>
    </xf>
    <xf numFmtId="10" fontId="2" fillId="4" borderId="2" xfId="0" applyNumberFormat="1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10" fontId="2" fillId="5" borderId="2" xfId="0" applyNumberFormat="1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0" fontId="2" fillId="6" borderId="2" xfId="0" applyNumberFormat="1" applyFont="1" applyFill="1" applyBorder="1" applyAlignment="1">
      <alignment horizontal="center"/>
    </xf>
    <xf numFmtId="10" fontId="2" fillId="7" borderId="2" xfId="0" applyNumberFormat="1" applyFont="1" applyFill="1" applyBorder="1" applyAlignment="1">
      <alignment horizontal="center"/>
    </xf>
    <xf numFmtId="10" fontId="2" fillId="8" borderId="2" xfId="0" applyNumberFormat="1" applyFont="1" applyFill="1" applyBorder="1" applyAlignment="1">
      <alignment horizontal="center"/>
    </xf>
    <xf numFmtId="10" fontId="2" fillId="9" borderId="2" xfId="0" applyNumberFormat="1" applyFont="1" applyFill="1" applyBorder="1" applyAlignment="1">
      <alignment horizontal="center"/>
    </xf>
    <xf numFmtId="10" fontId="2" fillId="10" borderId="2" xfId="0" applyNumberFormat="1" applyFont="1" applyFill="1" applyBorder="1" applyAlignment="1">
      <alignment horizontal="center"/>
    </xf>
    <xf numFmtId="10" fontId="2" fillId="11" borderId="2" xfId="0" applyNumberFormat="1" applyFont="1" applyFill="1" applyBorder="1" applyAlignment="1">
      <alignment horizontal="center"/>
    </xf>
    <xf numFmtId="10" fontId="2" fillId="12" borderId="4" xfId="0" applyNumberFormat="1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10" fontId="2" fillId="13" borderId="4" xfId="0" applyNumberFormat="1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10" fontId="3" fillId="0" borderId="0" xfId="0" applyNumberFormat="1" applyFont="1" applyAlignment="1">
      <alignment horizontal="right" vertical="center"/>
    </xf>
    <xf numFmtId="0" fontId="3" fillId="0" borderId="0" xfId="0" applyFont="1">
      <alignment vertical="center"/>
    </xf>
    <xf numFmtId="0" fontId="4" fillId="14" borderId="0" xfId="49" applyNumberFormat="1" applyFont="1" applyFill="1" applyBorder="1" applyAlignment="1">
      <alignment wrapText="1"/>
    </xf>
    <xf numFmtId="0" fontId="0" fillId="0" borderId="0" xfId="49" applyNumberFormat="1" applyFont="1" applyFill="1" applyBorder="1" applyAlignment="1">
      <alignment wrapText="1"/>
    </xf>
    <xf numFmtId="0" fontId="5" fillId="15" borderId="0" xfId="49" applyNumberFormat="1" applyFont="1" applyFill="1" applyBorder="1"/>
    <xf numFmtId="0" fontId="0" fillId="15" borderId="0" xfId="49" applyNumberFormat="1" applyFont="1" applyFill="1" applyBorder="1"/>
    <xf numFmtId="176" fontId="0" fillId="15" borderId="0" xfId="49" applyNumberFormat="1" applyFont="1" applyFill="1" applyBorder="1"/>
    <xf numFmtId="178" fontId="0" fillId="15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ampleLibrary" displayName="SampleLibrary" ref="A1:O368">
  <tableColumns count="15">
    <tableColumn id="1" name="filename"/>
    <tableColumn id="2" name="ctr"/>
    <tableColumn id="3" name="title"/>
    <tableColumn id="4" name="project"/>
    <tableColumn id="5" name="has_face"/>
    <tableColumn id="6" name="has_before_after"/>
    <tableColumn id="7" name="account_type"/>
    <tableColumn id="8" name="exposure"/>
    <tableColumn id="9" name="clicks"/>
    <tableColumn id="10" name="published_at"/>
    <tableColumn id="11" name="note_url"/>
    <tableColumn id="12" name="source"/>
    <tableColumn id="13" name="designer"/>
    <tableColumn id="14" name="status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eldDictionary" displayName="FieldDictionary" ref="A1:D16">
  <tableColumns count="4">
    <tableColumn id="1" name="字段"/>
    <tableColumn id="2" name="是否必填"/>
    <tableColumn id="3" name="说明"/>
    <tableColumn id="4" name="示例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OptionsTable" displayName="OptionsTable" ref="A1:D12">
  <tableColumns count="4">
    <tableColumn id="1" name="是否选项"/>
    <tableColumn id="2" name="账号类型"/>
    <tableColumn id="3" name="状态"/>
    <tableColumn id="4" name="常见项目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8"/>
  <sheetViews>
    <sheetView workbookViewId="0">
      <selection activeCell="A1" sqref="A1"/>
    </sheetView>
  </sheetViews>
  <sheetFormatPr defaultColWidth="9" defaultRowHeight="16.8" outlineLevelRow="7"/>
  <cols>
    <col min="1" max="1" width="14.1102941176471" customWidth="1"/>
    <col min="2" max="2" width="63.1911764705882" customWidth="1"/>
    <col min="4" max="4" width="15.3382352941176" customWidth="1"/>
    <col min="5" max="5" width="12.8823529411765" customWidth="1"/>
  </cols>
  <sheetData>
    <row r="1" ht="130" spans="1:15">
      <c r="A1" s="27" t="s">
        <v>0</v>
      </c>
      <c r="B1" s="27" t="s">
        <v>0</v>
      </c>
      <c r="C1" s="27" t="s">
        <v>0</v>
      </c>
      <c r="D1" s="27" t="s">
        <v>0</v>
      </c>
      <c r="E1" s="27" t="s">
        <v>0</v>
      </c>
      <c r="F1" s="27" t="s">
        <v>0</v>
      </c>
      <c r="G1" s="27" t="s">
        <v>0</v>
      </c>
      <c r="H1" s="27" t="s">
        <v>0</v>
      </c>
      <c r="I1" s="1"/>
      <c r="J1" s="1"/>
      <c r="K1" s="1"/>
      <c r="L1" s="1"/>
      <c r="M1" s="1"/>
      <c r="N1" s="1"/>
      <c r="O1" s="1"/>
    </row>
    <row r="3" ht="34" spans="1:15">
      <c r="A3" s="28" t="s">
        <v>1</v>
      </c>
      <c r="B3" s="28" t="s">
        <v>2</v>
      </c>
      <c r="D3" s="29" t="s">
        <v>3</v>
      </c>
      <c r="E3" s="30">
        <f>COUNT(样本录入!B:B)</f>
        <v>367</v>
      </c>
    </row>
    <row r="4" ht="17" spans="1:15">
      <c r="A4" s="28" t="s">
        <v>4</v>
      </c>
      <c r="B4" s="28" t="s">
        <v>5</v>
      </c>
      <c r="D4" s="29" t="s">
        <v>6</v>
      </c>
      <c r="E4" s="31">
        <f>IFERROR(AVERAGE(样本录入!B:B),"")</f>
        <v>0.186395367847412</v>
      </c>
    </row>
    <row r="5" ht="17" spans="1:15">
      <c r="A5" s="28" t="s">
        <v>7</v>
      </c>
      <c r="B5" s="28" t="s">
        <v>8</v>
      </c>
      <c r="D5" s="29" t="s">
        <v>9</v>
      </c>
      <c r="E5" s="31">
        <f>IFERROR(MAX(样本录入!B:B),"")</f>
        <v>1.0271</v>
      </c>
    </row>
    <row r="6" ht="34" spans="1:15">
      <c r="A6" s="28" t="s">
        <v>10</v>
      </c>
      <c r="B6" s="28" t="s">
        <v>11</v>
      </c>
      <c r="D6" s="29" t="s">
        <v>12</v>
      </c>
      <c r="E6" s="30">
        <f>COUNT(样本录入!H:H)</f>
        <v>120</v>
      </c>
    </row>
    <row r="7" ht="17" spans="1:15">
      <c r="A7" s="28" t="s">
        <v>13</v>
      </c>
      <c r="B7" s="28" t="s">
        <v>14</v>
      </c>
      <c r="D7" s="29" t="s">
        <v>15</v>
      </c>
      <c r="E7" s="32">
        <f>IFERROR(COUNTIF(样本录入!E:E,"是")/COUNT(样本录入!B:B),"")</f>
        <v>0</v>
      </c>
    </row>
    <row r="8" ht="17" spans="1:15">
      <c r="A8" s="28" t="s">
        <v>16</v>
      </c>
      <c r="B8" s="28" t="s">
        <v>17</v>
      </c>
      <c r="D8" s="29" t="s">
        <v>18</v>
      </c>
      <c r="E8" s="32">
        <f>IFERROR(COUNTIF(样本录入!F:F,"是")/COUNT(样本录入!B:B),"")</f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68"/>
  <sheetViews>
    <sheetView tabSelected="1" topLeftCell="A346" workbookViewId="0">
      <selection activeCell="D346" sqref="D346"/>
    </sheetView>
  </sheetViews>
  <sheetFormatPr defaultColWidth="9" defaultRowHeight="16.8"/>
  <cols>
    <col min="1" max="1" width="17.7867647058824" customWidth="1"/>
    <col min="2" max="2" width="7.97794117647059" customWidth="1"/>
    <col min="3" max="3" width="25.1470588235294" customWidth="1"/>
    <col min="4" max="4" width="14.7205882352941" customWidth="1"/>
    <col min="5" max="5" width="10.4264705882353" customWidth="1"/>
    <col min="6" max="6" width="12.8823529411765" customWidth="1"/>
    <col min="7" max="7" width="11.0367647058824" customWidth="1"/>
    <col min="8" max="8" width="10.4264705882353" customWidth="1"/>
    <col min="9" max="9" width="9.19852941176471" customWidth="1"/>
    <col min="10" max="10" width="12.8823529411765" customWidth="1"/>
    <col min="11" max="11" width="26.3823529411765" customWidth="1"/>
    <col min="12" max="12" width="11.0367647058824" customWidth="1"/>
    <col min="13" max="13" width="9.82352941176471" customWidth="1"/>
    <col min="14" max="14" width="9.19852941176471" customWidth="1"/>
    <col min="15" max="15" width="28.8308823529412" customWidth="1"/>
  </cols>
  <sheetData>
    <row r="1" ht="34" spans="1:26">
      <c r="A1" s="1" t="s">
        <v>19</v>
      </c>
      <c r="B1" s="2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3" t="s">
        <v>26</v>
      </c>
      <c r="I1" s="3" t="s">
        <v>27</v>
      </c>
      <c r="J1" s="4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</row>
    <row r="2" spans="1:26">
      <c r="A2" s="5" t="s">
        <v>34</v>
      </c>
      <c r="B2" s="6">
        <v>0.1075</v>
      </c>
      <c r="C2" s="7" t="s">
        <v>35</v>
      </c>
      <c r="D2" s="7" t="s">
        <v>36</v>
      </c>
      <c r="E2" s="7"/>
      <c r="F2" s="7"/>
      <c r="G2" s="7"/>
      <c r="H2" s="7"/>
      <c r="I2" s="7"/>
      <c r="J2" s="7"/>
      <c r="K2" s="7"/>
      <c r="L2" s="7"/>
      <c r="M2" s="7"/>
      <c r="N2" s="7"/>
      <c r="O2" s="8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>
      <c r="A3" s="10" t="s">
        <v>37</v>
      </c>
      <c r="B3" s="11">
        <v>0.27</v>
      </c>
      <c r="C3" s="12" t="s">
        <v>38</v>
      </c>
      <c r="D3" s="12" t="s">
        <v>39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3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5" t="s">
        <v>40</v>
      </c>
      <c r="B4" s="14">
        <v>0.1</v>
      </c>
      <c r="C4" s="7" t="s">
        <v>41</v>
      </c>
      <c r="D4" s="7" t="s">
        <v>42</v>
      </c>
      <c r="E4" s="7"/>
      <c r="F4" s="7"/>
      <c r="G4" s="7"/>
      <c r="H4" s="7"/>
      <c r="I4" s="7"/>
      <c r="J4" s="7"/>
      <c r="K4" s="7"/>
      <c r="L4" s="7"/>
      <c r="M4" s="7"/>
      <c r="N4" s="7"/>
      <c r="O4" s="8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10" t="s">
        <v>43</v>
      </c>
      <c r="B5" s="15">
        <v>0.12</v>
      </c>
      <c r="C5" s="12" t="s">
        <v>44</v>
      </c>
      <c r="D5" s="12" t="s">
        <v>45</v>
      </c>
      <c r="E5" s="12"/>
      <c r="F5" s="12"/>
      <c r="G5" s="12"/>
      <c r="H5" s="12"/>
      <c r="I5" s="12"/>
      <c r="J5" s="12"/>
      <c r="K5" s="12"/>
      <c r="L5" s="12"/>
      <c r="M5" s="12"/>
      <c r="N5" s="12"/>
      <c r="O5" s="13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5" t="s">
        <v>46</v>
      </c>
      <c r="B6" s="16">
        <v>0.1003</v>
      </c>
      <c r="C6" s="7" t="s">
        <v>47</v>
      </c>
      <c r="D6" s="7" t="s">
        <v>48</v>
      </c>
      <c r="E6" s="7"/>
      <c r="F6" s="7"/>
      <c r="G6" s="7"/>
      <c r="H6" s="7">
        <v>738000</v>
      </c>
      <c r="I6" s="7">
        <v>74000</v>
      </c>
      <c r="J6" s="7"/>
      <c r="K6" s="7"/>
      <c r="L6" s="7"/>
      <c r="M6" s="7"/>
      <c r="N6" s="7"/>
      <c r="O6" s="8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10" t="s">
        <v>49</v>
      </c>
      <c r="B7" s="17">
        <v>0.1085</v>
      </c>
      <c r="C7" s="12" t="s">
        <v>50</v>
      </c>
      <c r="D7" s="12" t="s">
        <v>48</v>
      </c>
      <c r="E7" s="12"/>
      <c r="F7" s="12"/>
      <c r="G7" s="12"/>
      <c r="H7" s="12">
        <v>1447000</v>
      </c>
      <c r="I7" s="12">
        <v>157000</v>
      </c>
      <c r="J7" s="12"/>
      <c r="K7" s="12"/>
      <c r="L7" s="12"/>
      <c r="M7" s="12"/>
      <c r="N7" s="12"/>
      <c r="O7" s="13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5" t="s">
        <v>51</v>
      </c>
      <c r="B8" s="18">
        <v>0.155</v>
      </c>
      <c r="C8" s="7" t="s">
        <v>52</v>
      </c>
      <c r="D8" s="7" t="s">
        <v>48</v>
      </c>
      <c r="E8" s="7"/>
      <c r="F8" s="7"/>
      <c r="G8" s="7"/>
      <c r="H8" s="7">
        <v>1039000</v>
      </c>
      <c r="I8" s="7">
        <v>161000</v>
      </c>
      <c r="J8" s="7"/>
      <c r="K8" s="7"/>
      <c r="L8" s="7"/>
      <c r="M8" s="7"/>
      <c r="N8" s="7"/>
      <c r="O8" s="8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53</v>
      </c>
      <c r="B9" s="19">
        <v>0.1455</v>
      </c>
      <c r="C9" s="12" t="s">
        <v>54</v>
      </c>
      <c r="D9" s="12" t="s">
        <v>48</v>
      </c>
      <c r="E9" s="12"/>
      <c r="F9" s="12"/>
      <c r="G9" s="12"/>
      <c r="H9" s="12">
        <v>1010000</v>
      </c>
      <c r="I9" s="12">
        <v>147000</v>
      </c>
      <c r="J9" s="12"/>
      <c r="K9" s="12"/>
      <c r="L9" s="12"/>
      <c r="M9" s="12"/>
      <c r="N9" s="12"/>
      <c r="O9" s="13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5" t="s">
        <v>55</v>
      </c>
      <c r="B10" s="6">
        <v>0.1301</v>
      </c>
      <c r="C10" s="7" t="s">
        <v>56</v>
      </c>
      <c r="D10" s="7" t="s">
        <v>48</v>
      </c>
      <c r="E10" s="7"/>
      <c r="F10" s="7"/>
      <c r="G10" s="7"/>
      <c r="H10" s="7">
        <v>961000</v>
      </c>
      <c r="I10" s="7">
        <v>125000</v>
      </c>
      <c r="J10" s="7"/>
      <c r="K10" s="7"/>
      <c r="L10" s="7"/>
      <c r="M10" s="7"/>
      <c r="N10" s="7"/>
      <c r="O10" s="8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 t="s">
        <v>57</v>
      </c>
      <c r="B11" s="11">
        <v>0.0892</v>
      </c>
      <c r="C11" s="12" t="s">
        <v>58</v>
      </c>
      <c r="D11" s="12" t="s">
        <v>48</v>
      </c>
      <c r="E11" s="12"/>
      <c r="F11" s="12"/>
      <c r="G11" s="12"/>
      <c r="H11" s="12">
        <v>1099000</v>
      </c>
      <c r="I11" s="12">
        <v>98000</v>
      </c>
      <c r="J11" s="12"/>
      <c r="K11" s="12"/>
      <c r="L11" s="12"/>
      <c r="M11" s="12"/>
      <c r="N11" s="12"/>
      <c r="O11" s="13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5" t="s">
        <v>59</v>
      </c>
      <c r="B12" s="14">
        <v>0.1835</v>
      </c>
      <c r="C12" s="7" t="s">
        <v>60</v>
      </c>
      <c r="D12" s="7" t="s">
        <v>48</v>
      </c>
      <c r="E12" s="7"/>
      <c r="F12" s="7"/>
      <c r="G12" s="7"/>
      <c r="H12" s="7">
        <v>1128000</v>
      </c>
      <c r="I12" s="7">
        <v>207000</v>
      </c>
      <c r="J12" s="7"/>
      <c r="K12" s="7"/>
      <c r="L12" s="7"/>
      <c r="M12" s="7"/>
      <c r="N12" s="7"/>
      <c r="O12" s="8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 t="s">
        <v>61</v>
      </c>
      <c r="B13" s="15">
        <v>0.1068</v>
      </c>
      <c r="C13" s="12" t="s">
        <v>62</v>
      </c>
      <c r="D13" s="12" t="s">
        <v>48</v>
      </c>
      <c r="E13" s="12"/>
      <c r="F13" s="12"/>
      <c r="G13" s="12"/>
      <c r="H13" s="12">
        <v>1067000</v>
      </c>
      <c r="I13" s="12">
        <v>114000</v>
      </c>
      <c r="J13" s="12"/>
      <c r="K13" s="12"/>
      <c r="L13" s="12"/>
      <c r="M13" s="12"/>
      <c r="N13" s="12"/>
      <c r="O13" s="13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5" t="s">
        <v>63</v>
      </c>
      <c r="B14" s="16">
        <v>0.0376</v>
      </c>
      <c r="C14" s="7" t="s">
        <v>64</v>
      </c>
      <c r="D14" s="7" t="s">
        <v>48</v>
      </c>
      <c r="E14" s="7"/>
      <c r="F14" s="7"/>
      <c r="G14" s="7"/>
      <c r="H14" s="7">
        <v>1011000</v>
      </c>
      <c r="I14" s="7">
        <v>38000</v>
      </c>
      <c r="J14" s="7"/>
      <c r="K14" s="7"/>
      <c r="L14" s="7"/>
      <c r="M14" s="7"/>
      <c r="N14" s="7"/>
      <c r="O14" s="8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65</v>
      </c>
      <c r="B15" s="17">
        <v>0.1088</v>
      </c>
      <c r="C15" s="12" t="s">
        <v>66</v>
      </c>
      <c r="D15" s="12" t="s">
        <v>48</v>
      </c>
      <c r="E15" s="12"/>
      <c r="F15" s="12"/>
      <c r="G15" s="12"/>
      <c r="H15" s="12">
        <v>965000</v>
      </c>
      <c r="I15" s="12">
        <v>105000</v>
      </c>
      <c r="J15" s="12"/>
      <c r="K15" s="12"/>
      <c r="L15" s="12"/>
      <c r="M15" s="12"/>
      <c r="N15" s="12"/>
      <c r="O15" s="13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5" t="s">
        <v>67</v>
      </c>
      <c r="B16" s="18">
        <v>0.0329</v>
      </c>
      <c r="C16" s="7" t="s">
        <v>68</v>
      </c>
      <c r="D16" s="7" t="s">
        <v>48</v>
      </c>
      <c r="E16" s="7"/>
      <c r="F16" s="7"/>
      <c r="G16" s="7"/>
      <c r="H16" s="7">
        <v>699000</v>
      </c>
      <c r="I16" s="7">
        <v>23000</v>
      </c>
      <c r="J16" s="7"/>
      <c r="K16" s="7"/>
      <c r="L16" s="7"/>
      <c r="M16" s="7"/>
      <c r="N16" s="7"/>
      <c r="O16" s="8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 t="s">
        <v>69</v>
      </c>
      <c r="B17" s="11">
        <v>0.1375</v>
      </c>
      <c r="C17" s="12" t="s">
        <v>70</v>
      </c>
      <c r="D17" s="12" t="s">
        <v>48</v>
      </c>
      <c r="E17" s="12"/>
      <c r="F17" s="12"/>
      <c r="G17" s="12"/>
      <c r="H17" s="12">
        <v>778000</v>
      </c>
      <c r="I17" s="12">
        <v>107000</v>
      </c>
      <c r="J17" s="12"/>
      <c r="K17" s="12"/>
      <c r="L17" s="12"/>
      <c r="M17" s="12"/>
      <c r="N17" s="12"/>
      <c r="O17" s="13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20" t="s">
        <v>71</v>
      </c>
      <c r="B18" s="20">
        <v>0.1651</v>
      </c>
      <c r="C18" s="20" t="s">
        <v>72</v>
      </c>
      <c r="D18" s="20" t="s">
        <v>73</v>
      </c>
      <c r="E18" s="20"/>
      <c r="F18" s="20"/>
      <c r="G18" s="20"/>
      <c r="H18" s="21"/>
      <c r="I18" s="21"/>
      <c r="J18" s="20"/>
      <c r="K18" s="20"/>
      <c r="L18" s="20"/>
      <c r="M18" s="20"/>
      <c r="N18" s="20"/>
      <c r="O18" s="20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22" t="s">
        <v>74</v>
      </c>
      <c r="B19" s="22">
        <v>0.0825</v>
      </c>
      <c r="C19" s="22" t="s">
        <v>75</v>
      </c>
      <c r="D19" s="22" t="s">
        <v>76</v>
      </c>
      <c r="E19" s="22"/>
      <c r="F19" s="22"/>
      <c r="G19" s="22"/>
      <c r="H19" s="23"/>
      <c r="I19" s="23"/>
      <c r="J19" s="22"/>
      <c r="K19" s="22"/>
      <c r="L19" s="22"/>
      <c r="M19" s="22"/>
      <c r="N19" s="22"/>
      <c r="O19" s="22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20" t="s">
        <v>77</v>
      </c>
      <c r="B20" s="20">
        <v>0.1041</v>
      </c>
      <c r="C20" s="20" t="s">
        <v>78</v>
      </c>
      <c r="D20" s="20" t="s">
        <v>79</v>
      </c>
      <c r="E20" s="20"/>
      <c r="F20" s="20"/>
      <c r="G20" s="20"/>
      <c r="H20" s="21"/>
      <c r="I20" s="21"/>
      <c r="J20" s="20"/>
      <c r="K20" s="20"/>
      <c r="L20" s="20"/>
      <c r="M20" s="20"/>
      <c r="N20" s="20"/>
      <c r="O20" s="20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22" t="s">
        <v>80</v>
      </c>
      <c r="B21" s="22">
        <v>0.0909</v>
      </c>
      <c r="C21" s="22" t="s">
        <v>81</v>
      </c>
      <c r="D21" s="22" t="s">
        <v>82</v>
      </c>
      <c r="E21" s="22"/>
      <c r="F21" s="22"/>
      <c r="G21" s="22"/>
      <c r="H21" s="23"/>
      <c r="I21" s="23"/>
      <c r="J21" s="22"/>
      <c r="K21" s="22"/>
      <c r="L21" s="22"/>
      <c r="M21" s="22"/>
      <c r="N21" s="22"/>
      <c r="O21" s="22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20" t="s">
        <v>83</v>
      </c>
      <c r="B22" s="20">
        <v>0.071</v>
      </c>
      <c r="C22" s="20" t="s">
        <v>84</v>
      </c>
      <c r="D22" s="20" t="s">
        <v>85</v>
      </c>
      <c r="E22" s="20"/>
      <c r="F22" s="20"/>
      <c r="G22" s="20"/>
      <c r="H22" s="21"/>
      <c r="I22" s="21"/>
      <c r="J22" s="20"/>
      <c r="K22" s="20"/>
      <c r="L22" s="20"/>
      <c r="M22" s="20"/>
      <c r="N22" s="20"/>
      <c r="O22" s="20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22" t="s">
        <v>86</v>
      </c>
      <c r="B23" s="22">
        <v>0.121</v>
      </c>
      <c r="C23" s="22" t="s">
        <v>87</v>
      </c>
      <c r="D23" s="22" t="s">
        <v>79</v>
      </c>
      <c r="E23" s="22"/>
      <c r="F23" s="22"/>
      <c r="G23" s="22"/>
      <c r="H23" s="23"/>
      <c r="I23" s="23"/>
      <c r="J23" s="22"/>
      <c r="K23" s="22"/>
      <c r="L23" s="22"/>
      <c r="M23" s="22"/>
      <c r="N23" s="22"/>
      <c r="O23" s="22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20" t="s">
        <v>88</v>
      </c>
      <c r="B24" s="20">
        <v>0.127</v>
      </c>
      <c r="C24" s="20" t="s">
        <v>89</v>
      </c>
      <c r="D24" s="20" t="s">
        <v>90</v>
      </c>
      <c r="E24" s="20"/>
      <c r="F24" s="20"/>
      <c r="G24" s="20"/>
      <c r="H24" s="21"/>
      <c r="I24" s="21"/>
      <c r="J24" s="20"/>
      <c r="K24" s="20"/>
      <c r="L24" s="20"/>
      <c r="M24" s="20"/>
      <c r="N24" s="20"/>
      <c r="O24" s="20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22" t="s">
        <v>91</v>
      </c>
      <c r="B25" s="22">
        <v>0.7541</v>
      </c>
      <c r="C25" s="22" t="s">
        <v>92</v>
      </c>
      <c r="D25" s="22" t="s">
        <v>93</v>
      </c>
      <c r="E25" s="22"/>
      <c r="F25" s="22"/>
      <c r="G25" s="22"/>
      <c r="H25" s="23">
        <v>29927</v>
      </c>
      <c r="I25" s="23">
        <v>22568</v>
      </c>
      <c r="J25" s="22"/>
      <c r="K25" s="22"/>
      <c r="L25" s="22"/>
      <c r="M25" s="22"/>
      <c r="N25" s="22"/>
      <c r="O25" s="22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20" t="s">
        <v>94</v>
      </c>
      <c r="B26" s="20">
        <v>0.618</v>
      </c>
      <c r="C26" s="20" t="s">
        <v>92</v>
      </c>
      <c r="D26" s="20" t="s">
        <v>93</v>
      </c>
      <c r="E26" s="20"/>
      <c r="F26" s="20"/>
      <c r="G26" s="20"/>
      <c r="H26" s="21">
        <v>11996</v>
      </c>
      <c r="I26" s="21">
        <v>7413</v>
      </c>
      <c r="J26" s="20"/>
      <c r="K26" s="20"/>
      <c r="L26" s="20"/>
      <c r="M26" s="20"/>
      <c r="N26" s="20"/>
      <c r="O26" s="20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22" t="s">
        <v>95</v>
      </c>
      <c r="B27" s="22">
        <v>0.1455</v>
      </c>
      <c r="C27" s="22" t="s">
        <v>96</v>
      </c>
      <c r="D27" s="22" t="s">
        <v>97</v>
      </c>
      <c r="E27" s="22"/>
      <c r="F27" s="22"/>
      <c r="G27" s="22"/>
      <c r="H27" s="23">
        <v>19481</v>
      </c>
      <c r="I27" s="23">
        <v>2834</v>
      </c>
      <c r="J27" s="22"/>
      <c r="K27" s="22"/>
      <c r="L27" s="22"/>
      <c r="M27" s="22"/>
      <c r="N27" s="22"/>
      <c r="O27" s="22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20" t="s">
        <v>98</v>
      </c>
      <c r="B28" s="20">
        <v>0.2615</v>
      </c>
      <c r="C28" s="20" t="s">
        <v>99</v>
      </c>
      <c r="D28" s="20" t="s">
        <v>100</v>
      </c>
      <c r="E28" s="20"/>
      <c r="F28" s="20"/>
      <c r="G28" s="20"/>
      <c r="H28" s="21">
        <v>9723</v>
      </c>
      <c r="I28" s="21">
        <v>2543</v>
      </c>
      <c r="J28" s="20"/>
      <c r="K28" s="20"/>
      <c r="L28" s="20"/>
      <c r="M28" s="20"/>
      <c r="N28" s="20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22" t="s">
        <v>101</v>
      </c>
      <c r="B29" s="22">
        <v>0.264</v>
      </c>
      <c r="C29" s="22" t="s">
        <v>102</v>
      </c>
      <c r="D29" s="22" t="s">
        <v>103</v>
      </c>
      <c r="E29" s="22"/>
      <c r="F29" s="22"/>
      <c r="G29" s="22"/>
      <c r="H29" s="23">
        <v>8246</v>
      </c>
      <c r="I29" s="23">
        <v>2177</v>
      </c>
      <c r="J29" s="22"/>
      <c r="K29" s="22"/>
      <c r="L29" s="22"/>
      <c r="M29" s="22"/>
      <c r="N29" s="22"/>
      <c r="O29" s="22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20" t="s">
        <v>104</v>
      </c>
      <c r="B30" s="20">
        <v>0.2166</v>
      </c>
      <c r="C30" s="20" t="s">
        <v>105</v>
      </c>
      <c r="D30" s="20" t="s">
        <v>93</v>
      </c>
      <c r="E30" s="20"/>
      <c r="F30" s="20"/>
      <c r="G30" s="20"/>
      <c r="H30" s="21">
        <v>9724</v>
      </c>
      <c r="I30" s="21">
        <v>2106</v>
      </c>
      <c r="J30" s="20"/>
      <c r="K30" s="20"/>
      <c r="L30" s="20"/>
      <c r="M30" s="20"/>
      <c r="N30" s="20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22" t="s">
        <v>106</v>
      </c>
      <c r="B31" s="22">
        <v>0.2415</v>
      </c>
      <c r="C31" s="22" t="s">
        <v>107</v>
      </c>
      <c r="D31" s="22" t="s">
        <v>108</v>
      </c>
      <c r="E31" s="22"/>
      <c r="F31" s="22"/>
      <c r="G31" s="22"/>
      <c r="H31" s="23">
        <v>8685</v>
      </c>
      <c r="I31" s="23">
        <v>2097</v>
      </c>
      <c r="J31" s="22"/>
      <c r="K31" s="22"/>
      <c r="L31" s="22"/>
      <c r="M31" s="22"/>
      <c r="N31" s="22"/>
      <c r="O31" s="22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20" t="s">
        <v>109</v>
      </c>
      <c r="B32" s="20">
        <v>0.1992</v>
      </c>
      <c r="C32" s="20" t="s">
        <v>110</v>
      </c>
      <c r="D32" s="20" t="s">
        <v>111</v>
      </c>
      <c r="E32" s="20"/>
      <c r="F32" s="20"/>
      <c r="G32" s="20"/>
      <c r="H32" s="21">
        <v>8407</v>
      </c>
      <c r="I32" s="21">
        <v>1675</v>
      </c>
      <c r="J32" s="20"/>
      <c r="K32" s="20"/>
      <c r="L32" s="20"/>
      <c r="M32" s="20"/>
      <c r="N32" s="20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22" t="s">
        <v>112</v>
      </c>
      <c r="B33" s="22">
        <v>0.0686</v>
      </c>
      <c r="C33" s="22" t="s">
        <v>113</v>
      </c>
      <c r="D33" s="22" t="s">
        <v>114</v>
      </c>
      <c r="E33" s="22"/>
      <c r="F33" s="22"/>
      <c r="G33" s="22"/>
      <c r="H33" s="23">
        <v>106064</v>
      </c>
      <c r="I33" s="23">
        <v>7277</v>
      </c>
      <c r="J33" s="22"/>
      <c r="K33" s="22"/>
      <c r="L33" s="22"/>
      <c r="M33" s="22"/>
      <c r="N33" s="22"/>
      <c r="O33" s="22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20" t="s">
        <v>115</v>
      </c>
      <c r="B34" s="20">
        <v>0.0686</v>
      </c>
      <c r="C34" s="20" t="s">
        <v>116</v>
      </c>
      <c r="D34" s="20" t="s">
        <v>93</v>
      </c>
      <c r="E34" s="20"/>
      <c r="F34" s="20"/>
      <c r="G34" s="20"/>
      <c r="H34" s="21">
        <v>40959</v>
      </c>
      <c r="I34" s="21">
        <v>32242</v>
      </c>
      <c r="J34" s="20"/>
      <c r="K34" s="20"/>
      <c r="L34" s="20"/>
      <c r="M34" s="20"/>
      <c r="N34" s="20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22" t="s">
        <v>117</v>
      </c>
      <c r="B35" s="22">
        <v>0.1407</v>
      </c>
      <c r="C35" s="22" t="s">
        <v>118</v>
      </c>
      <c r="D35" s="22" t="s">
        <v>93</v>
      </c>
      <c r="E35" s="22"/>
      <c r="F35" s="22"/>
      <c r="G35" s="22"/>
      <c r="H35" s="23">
        <v>31627</v>
      </c>
      <c r="I35" s="23">
        <v>4449</v>
      </c>
      <c r="J35" s="22"/>
      <c r="K35" s="22"/>
      <c r="L35" s="22"/>
      <c r="M35" s="22"/>
      <c r="N35" s="22"/>
      <c r="O35" s="22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20" t="s">
        <v>119</v>
      </c>
      <c r="B36" s="20">
        <v>0.1602</v>
      </c>
      <c r="C36" s="20" t="s">
        <v>120</v>
      </c>
      <c r="D36" s="20" t="s">
        <v>93</v>
      </c>
      <c r="E36" s="20"/>
      <c r="F36" s="20"/>
      <c r="G36" s="20"/>
      <c r="H36" s="21">
        <v>15934</v>
      </c>
      <c r="I36" s="21">
        <v>2553</v>
      </c>
      <c r="J36" s="20"/>
      <c r="K36" s="20"/>
      <c r="L36" s="20"/>
      <c r="M36" s="20"/>
      <c r="N36" s="20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22" t="s">
        <v>121</v>
      </c>
      <c r="B37" s="22">
        <v>0.2863</v>
      </c>
      <c r="C37" s="22" t="s">
        <v>122</v>
      </c>
      <c r="D37" s="22" t="s">
        <v>123</v>
      </c>
      <c r="E37" s="22"/>
      <c r="F37" s="22"/>
      <c r="G37" s="22"/>
      <c r="H37" s="23">
        <v>8155</v>
      </c>
      <c r="I37" s="23">
        <v>2335</v>
      </c>
      <c r="J37" s="22"/>
      <c r="K37" s="22"/>
      <c r="L37" s="22"/>
      <c r="M37" s="22"/>
      <c r="N37" s="22"/>
      <c r="O37" s="22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20" t="s">
        <v>124</v>
      </c>
      <c r="B38" s="20">
        <v>0.15</v>
      </c>
      <c r="C38" s="20" t="s">
        <v>125</v>
      </c>
      <c r="D38" s="20" t="s">
        <v>93</v>
      </c>
      <c r="E38" s="20"/>
      <c r="F38" s="20"/>
      <c r="G38" s="20"/>
      <c r="H38" s="21"/>
      <c r="I38" s="21"/>
      <c r="J38" s="20"/>
      <c r="K38" s="20"/>
      <c r="L38" s="20"/>
      <c r="M38" s="20"/>
      <c r="N38" s="20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22" t="s">
        <v>126</v>
      </c>
      <c r="B39" s="22">
        <v>0.15</v>
      </c>
      <c r="C39" s="22" t="s">
        <v>127</v>
      </c>
      <c r="D39" s="22" t="s">
        <v>93</v>
      </c>
      <c r="E39" s="22"/>
      <c r="F39" s="22"/>
      <c r="G39" s="22"/>
      <c r="H39" s="23"/>
      <c r="I39" s="23"/>
      <c r="J39" s="22"/>
      <c r="K39" s="22"/>
      <c r="L39" s="22"/>
      <c r="M39" s="22"/>
      <c r="N39" s="22"/>
      <c r="O39" s="22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20" t="s">
        <v>128</v>
      </c>
      <c r="B40" s="20">
        <v>0.15</v>
      </c>
      <c r="C40" s="20" t="s">
        <v>129</v>
      </c>
      <c r="D40" s="20" t="s">
        <v>93</v>
      </c>
      <c r="E40" s="20"/>
      <c r="F40" s="20"/>
      <c r="G40" s="20"/>
      <c r="H40" s="21"/>
      <c r="I40" s="21"/>
      <c r="J40" s="20"/>
      <c r="K40" s="20"/>
      <c r="L40" s="20"/>
      <c r="M40" s="20"/>
      <c r="N40" s="20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22" t="s">
        <v>130</v>
      </c>
      <c r="B41" s="22">
        <v>0.15</v>
      </c>
      <c r="C41" s="22" t="s">
        <v>131</v>
      </c>
      <c r="D41" s="22" t="s">
        <v>93</v>
      </c>
      <c r="E41" s="22"/>
      <c r="F41" s="22"/>
      <c r="G41" s="22"/>
      <c r="H41" s="23"/>
      <c r="I41" s="23"/>
      <c r="J41" s="22"/>
      <c r="K41" s="22"/>
      <c r="L41" s="22"/>
      <c r="M41" s="22"/>
      <c r="N41" s="22"/>
      <c r="O41" s="22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20" t="s">
        <v>132</v>
      </c>
      <c r="B42" s="20">
        <v>0.15</v>
      </c>
      <c r="C42" s="20" t="s">
        <v>133</v>
      </c>
      <c r="D42" s="20" t="s">
        <v>93</v>
      </c>
      <c r="E42" s="20"/>
      <c r="F42" s="20"/>
      <c r="G42" s="20"/>
      <c r="H42" s="21"/>
      <c r="I42" s="21"/>
      <c r="J42" s="20"/>
      <c r="K42" s="20"/>
      <c r="L42" s="20"/>
      <c r="M42" s="20"/>
      <c r="N42" s="20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22" t="s">
        <v>134</v>
      </c>
      <c r="B43" s="22">
        <v>0.15</v>
      </c>
      <c r="C43" s="22" t="s">
        <v>135</v>
      </c>
      <c r="D43" s="22" t="s">
        <v>93</v>
      </c>
      <c r="E43" s="22"/>
      <c r="F43" s="22"/>
      <c r="G43" s="22"/>
      <c r="H43" s="23"/>
      <c r="I43" s="23"/>
      <c r="J43" s="22"/>
      <c r="K43" s="22"/>
      <c r="L43" s="22"/>
      <c r="M43" s="22"/>
      <c r="N43" s="22"/>
      <c r="O43" s="22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20" t="s">
        <v>136</v>
      </c>
      <c r="B44" s="20">
        <v>0.15</v>
      </c>
      <c r="C44" s="20" t="s">
        <v>137</v>
      </c>
      <c r="D44" s="20" t="s">
        <v>93</v>
      </c>
      <c r="E44" s="20"/>
      <c r="F44" s="20"/>
      <c r="G44" s="20"/>
      <c r="H44" s="21"/>
      <c r="I44" s="21"/>
      <c r="J44" s="20"/>
      <c r="K44" s="20"/>
      <c r="L44" s="20"/>
      <c r="M44" s="20"/>
      <c r="N44" s="20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22" t="s">
        <v>138</v>
      </c>
      <c r="B45" s="22">
        <v>0.12</v>
      </c>
      <c r="C45" s="22" t="s">
        <v>139</v>
      </c>
      <c r="D45" s="22" t="s">
        <v>93</v>
      </c>
      <c r="E45" s="22"/>
      <c r="F45" s="22"/>
      <c r="G45" s="22"/>
      <c r="H45" s="23"/>
      <c r="I45" s="23"/>
      <c r="J45" s="22"/>
      <c r="K45" s="22"/>
      <c r="L45" s="22"/>
      <c r="M45" s="22"/>
      <c r="N45" s="22"/>
      <c r="O45" s="22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20" t="s">
        <v>140</v>
      </c>
      <c r="B46" s="20">
        <v>0.15</v>
      </c>
      <c r="C46" s="20" t="s">
        <v>141</v>
      </c>
      <c r="D46" s="20" t="s">
        <v>93</v>
      </c>
      <c r="E46" s="20"/>
      <c r="F46" s="20"/>
      <c r="G46" s="20"/>
      <c r="H46" s="21"/>
      <c r="I46" s="21"/>
      <c r="J46" s="20"/>
      <c r="K46" s="20"/>
      <c r="L46" s="20"/>
      <c r="M46" s="20"/>
      <c r="N46" s="20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22" t="s">
        <v>142</v>
      </c>
      <c r="B47" s="22">
        <v>0.15</v>
      </c>
      <c r="C47" s="22" t="s">
        <v>143</v>
      </c>
      <c r="D47" s="22" t="s">
        <v>93</v>
      </c>
      <c r="E47" s="22"/>
      <c r="F47" s="22"/>
      <c r="G47" s="22"/>
      <c r="H47" s="23"/>
      <c r="I47" s="23"/>
      <c r="J47" s="22"/>
      <c r="K47" s="22"/>
      <c r="L47" s="22"/>
      <c r="M47" s="22"/>
      <c r="N47" s="22"/>
      <c r="O47" s="22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20" t="s">
        <v>144</v>
      </c>
      <c r="B48" s="20">
        <v>0.15</v>
      </c>
      <c r="C48" s="20" t="s">
        <v>145</v>
      </c>
      <c r="D48" s="20" t="s">
        <v>93</v>
      </c>
      <c r="E48" s="20"/>
      <c r="F48" s="20"/>
      <c r="G48" s="20"/>
      <c r="H48" s="21"/>
      <c r="I48" s="21"/>
      <c r="J48" s="20"/>
      <c r="K48" s="20"/>
      <c r="L48" s="20"/>
      <c r="M48" s="20"/>
      <c r="N48" s="20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22" t="s">
        <v>146</v>
      </c>
      <c r="B49" s="22">
        <v>0.15</v>
      </c>
      <c r="C49" s="22" t="s">
        <v>147</v>
      </c>
      <c r="D49" s="22" t="s">
        <v>93</v>
      </c>
      <c r="E49" s="22"/>
      <c r="F49" s="22"/>
      <c r="G49" s="22"/>
      <c r="H49" s="23"/>
      <c r="I49" s="23"/>
      <c r="J49" s="22"/>
      <c r="K49" s="22"/>
      <c r="L49" s="22"/>
      <c r="M49" s="22"/>
      <c r="N49" s="22"/>
      <c r="O49" s="22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20" t="s">
        <v>148</v>
      </c>
      <c r="B50" s="20">
        <v>0.15</v>
      </c>
      <c r="C50" s="20" t="s">
        <v>149</v>
      </c>
      <c r="D50" s="20" t="s">
        <v>93</v>
      </c>
      <c r="E50" s="20"/>
      <c r="F50" s="20"/>
      <c r="G50" s="20"/>
      <c r="H50" s="21"/>
      <c r="I50" s="21"/>
      <c r="J50" s="20"/>
      <c r="K50" s="20"/>
      <c r="L50" s="20"/>
      <c r="M50" s="20"/>
      <c r="N50" s="20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22" t="s">
        <v>150</v>
      </c>
      <c r="B51" s="22">
        <v>0.15</v>
      </c>
      <c r="C51" s="22" t="s">
        <v>151</v>
      </c>
      <c r="D51" s="22" t="s">
        <v>93</v>
      </c>
      <c r="E51" s="22"/>
      <c r="F51" s="22"/>
      <c r="G51" s="22"/>
      <c r="H51" s="23"/>
      <c r="I51" s="23"/>
      <c r="J51" s="22"/>
      <c r="K51" s="22"/>
      <c r="L51" s="22"/>
      <c r="M51" s="22"/>
      <c r="N51" s="22"/>
      <c r="O51" s="22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20" t="s">
        <v>152</v>
      </c>
      <c r="B52" s="20">
        <v>0.15</v>
      </c>
      <c r="C52" s="20" t="s">
        <v>153</v>
      </c>
      <c r="D52" s="20" t="s">
        <v>93</v>
      </c>
      <c r="E52" s="20"/>
      <c r="F52" s="20"/>
      <c r="G52" s="20"/>
      <c r="H52" s="21"/>
      <c r="I52" s="21"/>
      <c r="J52" s="20"/>
      <c r="K52" s="20"/>
      <c r="L52" s="20"/>
      <c r="M52" s="20"/>
      <c r="N52" s="20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22" t="s">
        <v>154</v>
      </c>
      <c r="B53" s="22">
        <v>0.15</v>
      </c>
      <c r="C53" s="22" t="s">
        <v>155</v>
      </c>
      <c r="D53" s="22" t="s">
        <v>93</v>
      </c>
      <c r="E53" s="22"/>
      <c r="F53" s="22"/>
      <c r="G53" s="22"/>
      <c r="H53" s="23"/>
      <c r="I53" s="23"/>
      <c r="J53" s="22"/>
      <c r="K53" s="22"/>
      <c r="L53" s="22"/>
      <c r="M53" s="22"/>
      <c r="N53" s="22"/>
      <c r="O53" s="22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20" t="s">
        <v>156</v>
      </c>
      <c r="B54" s="20">
        <v>0.15</v>
      </c>
      <c r="C54" s="20" t="s">
        <v>157</v>
      </c>
      <c r="D54" s="20" t="s">
        <v>93</v>
      </c>
      <c r="E54" s="20"/>
      <c r="F54" s="20"/>
      <c r="G54" s="20"/>
      <c r="H54" s="21"/>
      <c r="I54" s="21"/>
      <c r="J54" s="20"/>
      <c r="K54" s="20"/>
      <c r="L54" s="20"/>
      <c r="M54" s="20"/>
      <c r="N54" s="20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22" t="s">
        <v>158</v>
      </c>
      <c r="B55" s="22">
        <v>0.15</v>
      </c>
      <c r="C55" s="22" t="s">
        <v>159</v>
      </c>
      <c r="D55" s="22" t="s">
        <v>93</v>
      </c>
      <c r="E55" s="22"/>
      <c r="F55" s="22"/>
      <c r="G55" s="22"/>
      <c r="H55" s="23"/>
      <c r="I55" s="23"/>
      <c r="J55" s="22"/>
      <c r="K55" s="22"/>
      <c r="L55" s="22"/>
      <c r="M55" s="22"/>
      <c r="N55" s="22"/>
      <c r="O55" s="22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20" t="s">
        <v>160</v>
      </c>
      <c r="B56" s="20">
        <v>0.15</v>
      </c>
      <c r="C56" s="20" t="s">
        <v>161</v>
      </c>
      <c r="D56" s="20" t="s">
        <v>93</v>
      </c>
      <c r="E56" s="20"/>
      <c r="F56" s="20"/>
      <c r="G56" s="20"/>
      <c r="H56" s="21"/>
      <c r="I56" s="21"/>
      <c r="J56" s="20"/>
      <c r="K56" s="20"/>
      <c r="L56" s="20"/>
      <c r="M56" s="20"/>
      <c r="N56" s="20"/>
      <c r="O56" s="20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22" t="s">
        <v>162</v>
      </c>
      <c r="B57" s="22">
        <v>0.15</v>
      </c>
      <c r="C57" s="22" t="s">
        <v>163</v>
      </c>
      <c r="D57" s="22" t="s">
        <v>93</v>
      </c>
      <c r="E57" s="22"/>
      <c r="F57" s="22"/>
      <c r="G57" s="22"/>
      <c r="H57" s="23"/>
      <c r="I57" s="23"/>
      <c r="J57" s="22"/>
      <c r="K57" s="22"/>
      <c r="L57" s="22"/>
      <c r="M57" s="22"/>
      <c r="N57" s="22"/>
      <c r="O57" s="22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20" t="s">
        <v>164</v>
      </c>
      <c r="B58" s="20">
        <v>0.15</v>
      </c>
      <c r="C58" s="20" t="s">
        <v>165</v>
      </c>
      <c r="D58" s="20" t="s">
        <v>93</v>
      </c>
      <c r="E58" s="20"/>
      <c r="F58" s="20"/>
      <c r="G58" s="20"/>
      <c r="H58" s="21"/>
      <c r="I58" s="21"/>
      <c r="J58" s="20"/>
      <c r="K58" s="20"/>
      <c r="L58" s="20"/>
      <c r="M58" s="20"/>
      <c r="N58" s="20"/>
      <c r="O58" s="20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22" t="s">
        <v>166</v>
      </c>
      <c r="B59" s="22">
        <v>0.15</v>
      </c>
      <c r="C59" s="22" t="s">
        <v>167</v>
      </c>
      <c r="D59" s="22" t="s">
        <v>93</v>
      </c>
      <c r="E59" s="22"/>
      <c r="F59" s="22"/>
      <c r="G59" s="22"/>
      <c r="H59" s="23"/>
      <c r="I59" s="23"/>
      <c r="J59" s="22"/>
      <c r="K59" s="22"/>
      <c r="L59" s="22"/>
      <c r="M59" s="22"/>
      <c r="N59" s="22"/>
      <c r="O59" s="22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20" t="s">
        <v>168</v>
      </c>
      <c r="B60" s="20">
        <v>0.15</v>
      </c>
      <c r="C60" s="20" t="s">
        <v>169</v>
      </c>
      <c r="D60" s="20" t="s">
        <v>93</v>
      </c>
      <c r="E60" s="20"/>
      <c r="F60" s="20"/>
      <c r="G60" s="20"/>
      <c r="H60" s="21"/>
      <c r="I60" s="21"/>
      <c r="J60" s="20"/>
      <c r="K60" s="20"/>
      <c r="L60" s="20"/>
      <c r="M60" s="20"/>
      <c r="N60" s="20"/>
      <c r="O60" s="20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22" t="s">
        <v>170</v>
      </c>
      <c r="B61" s="22">
        <v>0.15</v>
      </c>
      <c r="C61" s="22" t="s">
        <v>171</v>
      </c>
      <c r="D61" s="22" t="s">
        <v>93</v>
      </c>
      <c r="E61" s="22"/>
      <c r="F61" s="22"/>
      <c r="G61" s="22"/>
      <c r="H61" s="23"/>
      <c r="I61" s="23"/>
      <c r="J61" s="22"/>
      <c r="K61" s="22"/>
      <c r="L61" s="22"/>
      <c r="M61" s="22"/>
      <c r="N61" s="22"/>
      <c r="O61" s="22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20" t="s">
        <v>172</v>
      </c>
      <c r="B62" s="20">
        <v>0.15</v>
      </c>
      <c r="C62" s="20" t="s">
        <v>173</v>
      </c>
      <c r="D62" s="20" t="s">
        <v>93</v>
      </c>
      <c r="E62" s="20"/>
      <c r="F62" s="20"/>
      <c r="G62" s="20"/>
      <c r="H62" s="21"/>
      <c r="I62" s="21"/>
      <c r="J62" s="20"/>
      <c r="K62" s="20"/>
      <c r="L62" s="20"/>
      <c r="M62" s="20"/>
      <c r="N62" s="20"/>
      <c r="O62" s="20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22" t="s">
        <v>174</v>
      </c>
      <c r="B63" s="22">
        <v>0.13</v>
      </c>
      <c r="C63" s="22" t="s">
        <v>175</v>
      </c>
      <c r="D63" s="22" t="s">
        <v>93</v>
      </c>
      <c r="E63" s="22"/>
      <c r="F63" s="22"/>
      <c r="G63" s="22"/>
      <c r="H63" s="23"/>
      <c r="I63" s="23"/>
      <c r="J63" s="22"/>
      <c r="K63" s="22"/>
      <c r="L63" s="22"/>
      <c r="M63" s="22"/>
      <c r="N63" s="22"/>
      <c r="O63" s="22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20" t="s">
        <v>176</v>
      </c>
      <c r="B64" s="20">
        <v>0.15</v>
      </c>
      <c r="C64" s="20" t="s">
        <v>177</v>
      </c>
      <c r="D64" s="20" t="s">
        <v>93</v>
      </c>
      <c r="E64" s="20"/>
      <c r="F64" s="20"/>
      <c r="G64" s="20"/>
      <c r="H64" s="21"/>
      <c r="I64" s="21"/>
      <c r="J64" s="20"/>
      <c r="K64" s="20"/>
      <c r="L64" s="20"/>
      <c r="M64" s="20"/>
      <c r="N64" s="20"/>
      <c r="O64" s="20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22" t="s">
        <v>178</v>
      </c>
      <c r="B65" s="22">
        <v>0.15</v>
      </c>
      <c r="C65" s="22" t="s">
        <v>179</v>
      </c>
      <c r="D65" s="22" t="s">
        <v>93</v>
      </c>
      <c r="E65" s="22"/>
      <c r="F65" s="22"/>
      <c r="G65" s="22"/>
      <c r="H65" s="23"/>
      <c r="I65" s="23"/>
      <c r="J65" s="22"/>
      <c r="K65" s="22"/>
      <c r="L65" s="22"/>
      <c r="M65" s="22"/>
      <c r="N65" s="22"/>
      <c r="O65" s="22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20" t="s">
        <v>180</v>
      </c>
      <c r="B66" s="20">
        <v>0.12</v>
      </c>
      <c r="C66" s="20" t="s">
        <v>181</v>
      </c>
      <c r="D66" s="20" t="s">
        <v>93</v>
      </c>
      <c r="E66" s="20"/>
      <c r="F66" s="20"/>
      <c r="G66" s="20"/>
      <c r="H66" s="21"/>
      <c r="I66" s="21"/>
      <c r="J66" s="20"/>
      <c r="K66" s="20"/>
      <c r="L66" s="20"/>
      <c r="M66" s="20"/>
      <c r="N66" s="20"/>
      <c r="O66" s="20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22" t="s">
        <v>182</v>
      </c>
      <c r="B67" s="22">
        <v>0.15</v>
      </c>
      <c r="C67" s="22" t="s">
        <v>183</v>
      </c>
      <c r="D67" s="22" t="s">
        <v>93</v>
      </c>
      <c r="E67" s="22"/>
      <c r="F67" s="22"/>
      <c r="G67" s="22"/>
      <c r="H67" s="23"/>
      <c r="I67" s="23"/>
      <c r="J67" s="22"/>
      <c r="K67" s="22"/>
      <c r="L67" s="22"/>
      <c r="M67" s="22"/>
      <c r="N67" s="22"/>
      <c r="O67" s="22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20" t="s">
        <v>184</v>
      </c>
      <c r="B68" s="20">
        <v>0.15</v>
      </c>
      <c r="C68" s="20" t="s">
        <v>185</v>
      </c>
      <c r="D68" s="20" t="s">
        <v>93</v>
      </c>
      <c r="E68" s="20"/>
      <c r="F68" s="20"/>
      <c r="G68" s="20"/>
      <c r="H68" s="21"/>
      <c r="I68" s="21"/>
      <c r="J68" s="20"/>
      <c r="K68" s="20"/>
      <c r="L68" s="20"/>
      <c r="M68" s="20"/>
      <c r="N68" s="20"/>
      <c r="O68" s="20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22" t="s">
        <v>186</v>
      </c>
      <c r="B69" s="22">
        <v>0.15</v>
      </c>
      <c r="C69" s="22" t="s">
        <v>187</v>
      </c>
      <c r="D69" s="22" t="s">
        <v>93</v>
      </c>
      <c r="E69" s="22"/>
      <c r="F69" s="22"/>
      <c r="G69" s="22"/>
      <c r="H69" s="23"/>
      <c r="I69" s="23"/>
      <c r="J69" s="22"/>
      <c r="K69" s="22"/>
      <c r="L69" s="22"/>
      <c r="M69" s="22"/>
      <c r="N69" s="22"/>
      <c r="O69" s="22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20" t="s">
        <v>188</v>
      </c>
      <c r="B70" s="20">
        <v>0.12</v>
      </c>
      <c r="C70" s="20" t="s">
        <v>189</v>
      </c>
      <c r="D70" s="20" t="s">
        <v>93</v>
      </c>
      <c r="E70" s="20"/>
      <c r="F70" s="20"/>
      <c r="G70" s="20"/>
      <c r="H70" s="21"/>
      <c r="I70" s="21"/>
      <c r="J70" s="20"/>
      <c r="K70" s="20"/>
      <c r="L70" s="20"/>
      <c r="M70" s="20"/>
      <c r="N70" s="20"/>
      <c r="O70" s="20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22" t="s">
        <v>190</v>
      </c>
      <c r="B71" s="22">
        <v>0.15</v>
      </c>
      <c r="C71" s="22" t="s">
        <v>191</v>
      </c>
      <c r="D71" s="22" t="s">
        <v>93</v>
      </c>
      <c r="E71" s="22"/>
      <c r="F71" s="22"/>
      <c r="G71" s="22"/>
      <c r="H71" s="23"/>
      <c r="I71" s="23"/>
      <c r="J71" s="22"/>
      <c r="K71" s="22"/>
      <c r="L71" s="22"/>
      <c r="M71" s="22"/>
      <c r="N71" s="22"/>
      <c r="O71" s="22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20" t="s">
        <v>192</v>
      </c>
      <c r="B72" s="20">
        <v>0.15</v>
      </c>
      <c r="C72" s="20" t="s">
        <v>193</v>
      </c>
      <c r="D72" s="20" t="s">
        <v>93</v>
      </c>
      <c r="E72" s="20"/>
      <c r="F72" s="20"/>
      <c r="G72" s="20"/>
      <c r="H72" s="21"/>
      <c r="I72" s="21"/>
      <c r="J72" s="20"/>
      <c r="K72" s="20"/>
      <c r="L72" s="20"/>
      <c r="M72" s="20"/>
      <c r="N72" s="20"/>
      <c r="O72" s="20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22" t="s">
        <v>194</v>
      </c>
      <c r="B73" s="22">
        <v>0.15</v>
      </c>
      <c r="C73" s="22" t="s">
        <v>195</v>
      </c>
      <c r="D73" s="22" t="s">
        <v>93</v>
      </c>
      <c r="E73" s="22"/>
      <c r="F73" s="22"/>
      <c r="G73" s="22"/>
      <c r="H73" s="23"/>
      <c r="I73" s="23"/>
      <c r="J73" s="22"/>
      <c r="K73" s="22"/>
      <c r="L73" s="22"/>
      <c r="M73" s="22"/>
      <c r="N73" s="22"/>
      <c r="O73" s="22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20" t="s">
        <v>196</v>
      </c>
      <c r="B74" s="20">
        <v>0.12</v>
      </c>
      <c r="C74" s="20" t="s">
        <v>197</v>
      </c>
      <c r="D74" s="20" t="s">
        <v>93</v>
      </c>
      <c r="E74" s="20"/>
      <c r="F74" s="20"/>
      <c r="G74" s="20"/>
      <c r="H74" s="21"/>
      <c r="I74" s="21"/>
      <c r="J74" s="20"/>
      <c r="K74" s="20"/>
      <c r="L74" s="20"/>
      <c r="M74" s="20"/>
      <c r="N74" s="20"/>
      <c r="O74" s="20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22" t="s">
        <v>198</v>
      </c>
      <c r="B75" s="22">
        <v>0.15</v>
      </c>
      <c r="C75" s="22" t="s">
        <v>199</v>
      </c>
      <c r="D75" s="22" t="s">
        <v>93</v>
      </c>
      <c r="E75" s="22"/>
      <c r="F75" s="22"/>
      <c r="G75" s="22"/>
      <c r="H75" s="23"/>
      <c r="I75" s="23"/>
      <c r="J75" s="22"/>
      <c r="K75" s="22"/>
      <c r="L75" s="22"/>
      <c r="M75" s="22"/>
      <c r="N75" s="22"/>
      <c r="O75" s="22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20" t="s">
        <v>200</v>
      </c>
      <c r="B76" s="20">
        <v>0.15</v>
      </c>
      <c r="C76" s="20" t="s">
        <v>201</v>
      </c>
      <c r="D76" s="20" t="s">
        <v>93</v>
      </c>
      <c r="E76" s="20"/>
      <c r="F76" s="20"/>
      <c r="G76" s="20"/>
      <c r="H76" s="21"/>
      <c r="I76" s="21"/>
      <c r="J76" s="20"/>
      <c r="K76" s="20"/>
      <c r="L76" s="20"/>
      <c r="M76" s="20"/>
      <c r="N76" s="20"/>
      <c r="O76" s="20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22" t="s">
        <v>202</v>
      </c>
      <c r="B77" s="22">
        <v>0.15</v>
      </c>
      <c r="C77" s="22" t="s">
        <v>203</v>
      </c>
      <c r="D77" s="22" t="s">
        <v>93</v>
      </c>
      <c r="E77" s="22"/>
      <c r="F77" s="22"/>
      <c r="G77" s="22"/>
      <c r="H77" s="23"/>
      <c r="I77" s="23"/>
      <c r="J77" s="22"/>
      <c r="K77" s="22"/>
      <c r="L77" s="22"/>
      <c r="M77" s="22"/>
      <c r="N77" s="22"/>
      <c r="O77" s="22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20" t="s">
        <v>204</v>
      </c>
      <c r="B78" s="20">
        <v>0.15</v>
      </c>
      <c r="C78" s="20" t="s">
        <v>205</v>
      </c>
      <c r="D78" s="20" t="s">
        <v>93</v>
      </c>
      <c r="E78" s="20"/>
      <c r="F78" s="20"/>
      <c r="G78" s="20"/>
      <c r="H78" s="21"/>
      <c r="I78" s="21"/>
      <c r="J78" s="20"/>
      <c r="K78" s="20"/>
      <c r="L78" s="20"/>
      <c r="M78" s="20"/>
      <c r="N78" s="20"/>
      <c r="O78" s="20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22" t="s">
        <v>206</v>
      </c>
      <c r="B79" s="22">
        <v>0.15</v>
      </c>
      <c r="C79" s="22" t="s">
        <v>207</v>
      </c>
      <c r="D79" s="22" t="s">
        <v>93</v>
      </c>
      <c r="E79" s="22"/>
      <c r="F79" s="22"/>
      <c r="G79" s="22"/>
      <c r="H79" s="23"/>
      <c r="I79" s="23"/>
      <c r="J79" s="22"/>
      <c r="K79" s="22"/>
      <c r="L79" s="22"/>
      <c r="M79" s="22"/>
      <c r="N79" s="22"/>
      <c r="O79" s="22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20" t="s">
        <v>208</v>
      </c>
      <c r="B80" s="20">
        <v>0.11</v>
      </c>
      <c r="C80" s="20" t="s">
        <v>209</v>
      </c>
      <c r="D80" s="20" t="s">
        <v>93</v>
      </c>
      <c r="E80" s="20"/>
      <c r="F80" s="20"/>
      <c r="G80" s="20"/>
      <c r="H80" s="21"/>
      <c r="I80" s="21"/>
      <c r="J80" s="20"/>
      <c r="K80" s="20"/>
      <c r="L80" s="20"/>
      <c r="M80" s="20"/>
      <c r="N80" s="20"/>
      <c r="O80" s="20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22" t="s">
        <v>210</v>
      </c>
      <c r="B81" s="22">
        <v>0.15</v>
      </c>
      <c r="C81" s="22" t="s">
        <v>211</v>
      </c>
      <c r="D81" s="22" t="s">
        <v>93</v>
      </c>
      <c r="E81" s="22"/>
      <c r="F81" s="22"/>
      <c r="G81" s="22"/>
      <c r="H81" s="23"/>
      <c r="I81" s="23"/>
      <c r="J81" s="22"/>
      <c r="K81" s="22"/>
      <c r="L81" s="22"/>
      <c r="M81" s="22"/>
      <c r="N81" s="22"/>
      <c r="O81" s="22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20" t="s">
        <v>212</v>
      </c>
      <c r="B82" s="20">
        <v>0.15</v>
      </c>
      <c r="C82" s="20" t="s">
        <v>213</v>
      </c>
      <c r="D82" s="20" t="s">
        <v>93</v>
      </c>
      <c r="E82" s="20"/>
      <c r="F82" s="20"/>
      <c r="G82" s="20"/>
      <c r="H82" s="21"/>
      <c r="I82" s="21"/>
      <c r="J82" s="20"/>
      <c r="K82" s="20"/>
      <c r="L82" s="20"/>
      <c r="M82" s="20"/>
      <c r="N82" s="20"/>
      <c r="O82" s="20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22" t="s">
        <v>214</v>
      </c>
      <c r="B83" s="22">
        <v>0.1107</v>
      </c>
      <c r="C83" s="22" t="s">
        <v>215</v>
      </c>
      <c r="D83" s="22" t="s">
        <v>93</v>
      </c>
      <c r="E83" s="22"/>
      <c r="F83" s="22"/>
      <c r="G83" s="22"/>
      <c r="H83" s="23">
        <v>1093000</v>
      </c>
      <c r="I83" s="23">
        <v>121000</v>
      </c>
      <c r="J83" s="22"/>
      <c r="K83" s="22"/>
      <c r="L83" s="22"/>
      <c r="M83" s="22"/>
      <c r="N83" s="22"/>
      <c r="O83" s="22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20" t="s">
        <v>216</v>
      </c>
      <c r="B84" s="20">
        <v>0.0716</v>
      </c>
      <c r="C84" s="20" t="s">
        <v>217</v>
      </c>
      <c r="D84" s="20" t="s">
        <v>93</v>
      </c>
      <c r="E84" s="20"/>
      <c r="F84" s="20"/>
      <c r="G84" s="20"/>
      <c r="H84" s="21">
        <v>1090000</v>
      </c>
      <c r="I84" s="21">
        <v>78000</v>
      </c>
      <c r="J84" s="20"/>
      <c r="K84" s="20"/>
      <c r="L84" s="20"/>
      <c r="M84" s="20"/>
      <c r="N84" s="20"/>
      <c r="O84" s="20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22" t="s">
        <v>218</v>
      </c>
      <c r="B85" s="22">
        <v>0.0955</v>
      </c>
      <c r="C85" s="22" t="s">
        <v>219</v>
      </c>
      <c r="D85" s="22" t="s">
        <v>93</v>
      </c>
      <c r="E85" s="22"/>
      <c r="F85" s="22"/>
      <c r="G85" s="22"/>
      <c r="H85" s="23">
        <v>649000</v>
      </c>
      <c r="I85" s="23">
        <v>62000</v>
      </c>
      <c r="J85" s="22"/>
      <c r="K85" s="22"/>
      <c r="L85" s="22"/>
      <c r="M85" s="22"/>
      <c r="N85" s="22"/>
      <c r="O85" s="22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20" t="s">
        <v>220</v>
      </c>
      <c r="B86" s="20">
        <v>0.0981</v>
      </c>
      <c r="C86" s="20" t="s">
        <v>221</v>
      </c>
      <c r="D86" s="20" t="s">
        <v>93</v>
      </c>
      <c r="E86" s="20"/>
      <c r="F86" s="20"/>
      <c r="G86" s="20"/>
      <c r="H86" s="21">
        <v>1030000</v>
      </c>
      <c r="I86" s="21">
        <v>101000</v>
      </c>
      <c r="J86" s="20"/>
      <c r="K86" s="20"/>
      <c r="L86" s="20"/>
      <c r="M86" s="20"/>
      <c r="N86" s="20"/>
      <c r="O86" s="20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22" t="s">
        <v>222</v>
      </c>
      <c r="B87" s="22">
        <v>0.0899</v>
      </c>
      <c r="C87" s="22" t="s">
        <v>223</v>
      </c>
      <c r="D87" s="22" t="s">
        <v>93</v>
      </c>
      <c r="E87" s="22"/>
      <c r="F87" s="22"/>
      <c r="G87" s="22"/>
      <c r="H87" s="23">
        <v>1212000</v>
      </c>
      <c r="I87" s="23">
        <v>109000</v>
      </c>
      <c r="J87" s="22"/>
      <c r="K87" s="22"/>
      <c r="L87" s="22"/>
      <c r="M87" s="22"/>
      <c r="N87" s="22"/>
      <c r="O87" s="22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20" t="s">
        <v>224</v>
      </c>
      <c r="B88" s="20">
        <v>0.1063</v>
      </c>
      <c r="C88" s="20" t="s">
        <v>225</v>
      </c>
      <c r="D88" s="20" t="s">
        <v>93</v>
      </c>
      <c r="E88" s="20"/>
      <c r="F88" s="20"/>
      <c r="G88" s="20"/>
      <c r="H88" s="21">
        <v>1185000</v>
      </c>
      <c r="I88" s="21">
        <v>126000</v>
      </c>
      <c r="J88" s="20"/>
      <c r="K88" s="20"/>
      <c r="L88" s="20"/>
      <c r="M88" s="20"/>
      <c r="N88" s="20"/>
      <c r="O88" s="20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22" t="s">
        <v>226</v>
      </c>
      <c r="B89" s="22">
        <v>0.0833</v>
      </c>
      <c r="C89" s="22" t="s">
        <v>227</v>
      </c>
      <c r="D89" s="22" t="s">
        <v>93</v>
      </c>
      <c r="E89" s="22"/>
      <c r="F89" s="22"/>
      <c r="G89" s="22"/>
      <c r="H89" s="23">
        <v>1141000</v>
      </c>
      <c r="I89" s="23">
        <v>95000</v>
      </c>
      <c r="J89" s="22"/>
      <c r="K89" s="22"/>
      <c r="L89" s="22"/>
      <c r="M89" s="22"/>
      <c r="N89" s="22"/>
      <c r="O89" s="22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20" t="s">
        <v>228</v>
      </c>
      <c r="B90" s="20">
        <v>0.0761</v>
      </c>
      <c r="C90" s="20" t="s">
        <v>229</v>
      </c>
      <c r="D90" s="20" t="s">
        <v>93</v>
      </c>
      <c r="E90" s="20"/>
      <c r="F90" s="20"/>
      <c r="G90" s="20"/>
      <c r="H90" s="21">
        <v>1064000</v>
      </c>
      <c r="I90" s="21">
        <v>81000</v>
      </c>
      <c r="J90" s="20"/>
      <c r="K90" s="20"/>
      <c r="L90" s="20"/>
      <c r="M90" s="20"/>
      <c r="N90" s="20"/>
      <c r="O90" s="20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22" t="s">
        <v>230</v>
      </c>
      <c r="B91" s="22">
        <v>0.1649</v>
      </c>
      <c r="C91" s="22" t="s">
        <v>231</v>
      </c>
      <c r="D91" s="22" t="s">
        <v>93</v>
      </c>
      <c r="E91" s="22"/>
      <c r="F91" s="22"/>
      <c r="G91" s="22"/>
      <c r="H91" s="23">
        <v>1025000</v>
      </c>
      <c r="I91" s="23">
        <v>169000</v>
      </c>
      <c r="J91" s="22"/>
      <c r="K91" s="22"/>
      <c r="L91" s="22"/>
      <c r="M91" s="22"/>
      <c r="N91" s="22"/>
      <c r="O91" s="22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20" t="s">
        <v>232</v>
      </c>
      <c r="B92" s="20">
        <v>0.105</v>
      </c>
      <c r="C92" s="20" t="s">
        <v>233</v>
      </c>
      <c r="D92" s="20" t="s">
        <v>93</v>
      </c>
      <c r="E92" s="20"/>
      <c r="F92" s="20"/>
      <c r="G92" s="20"/>
      <c r="H92" s="21">
        <v>1019000</v>
      </c>
      <c r="I92" s="21">
        <v>107000</v>
      </c>
      <c r="J92" s="20"/>
      <c r="K92" s="20"/>
      <c r="L92" s="20"/>
      <c r="M92" s="20"/>
      <c r="N92" s="20"/>
      <c r="O92" s="20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22" t="s">
        <v>234</v>
      </c>
      <c r="B93" s="22">
        <v>0.1725</v>
      </c>
      <c r="C93" s="22" t="s">
        <v>235</v>
      </c>
      <c r="D93" s="22" t="s">
        <v>93</v>
      </c>
      <c r="E93" s="22"/>
      <c r="F93" s="22"/>
      <c r="G93" s="22"/>
      <c r="H93" s="23">
        <v>661000</v>
      </c>
      <c r="I93" s="23">
        <v>114000</v>
      </c>
      <c r="J93" s="22"/>
      <c r="K93" s="22"/>
      <c r="L93" s="22"/>
      <c r="M93" s="22"/>
      <c r="N93" s="22"/>
      <c r="O93" s="22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20" t="s">
        <v>236</v>
      </c>
      <c r="B94" s="20">
        <v>0.093</v>
      </c>
      <c r="C94" s="20" t="s">
        <v>237</v>
      </c>
      <c r="D94" s="20" t="s">
        <v>93</v>
      </c>
      <c r="E94" s="20"/>
      <c r="F94" s="20"/>
      <c r="G94" s="20"/>
      <c r="H94" s="21">
        <v>1376000</v>
      </c>
      <c r="I94" s="21">
        <v>128000</v>
      </c>
      <c r="J94" s="20"/>
      <c r="K94" s="20"/>
      <c r="L94" s="20"/>
      <c r="M94" s="20"/>
      <c r="N94" s="20"/>
      <c r="O94" s="20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22" t="s">
        <v>238</v>
      </c>
      <c r="B95" s="22">
        <v>0.4046</v>
      </c>
      <c r="C95" s="22" t="s">
        <v>239</v>
      </c>
      <c r="D95" s="22" t="s">
        <v>93</v>
      </c>
      <c r="E95" s="22"/>
      <c r="F95" s="22"/>
      <c r="G95" s="22"/>
      <c r="H95" s="23">
        <v>692000</v>
      </c>
      <c r="I95" s="23">
        <v>280000</v>
      </c>
      <c r="J95" s="22"/>
      <c r="K95" s="22"/>
      <c r="L95" s="22"/>
      <c r="M95" s="22"/>
      <c r="N95" s="22"/>
      <c r="O95" s="22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20" t="s">
        <v>240</v>
      </c>
      <c r="B96" s="20">
        <v>0.1135</v>
      </c>
      <c r="C96" s="20" t="s">
        <v>241</v>
      </c>
      <c r="D96" s="20" t="s">
        <v>93</v>
      </c>
      <c r="E96" s="20"/>
      <c r="F96" s="20"/>
      <c r="G96" s="20"/>
      <c r="H96" s="21">
        <v>617000</v>
      </c>
      <c r="I96" s="21">
        <v>70000</v>
      </c>
      <c r="J96" s="20"/>
      <c r="K96" s="20"/>
      <c r="L96" s="20"/>
      <c r="M96" s="20"/>
      <c r="N96" s="20"/>
      <c r="O96" s="20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22" t="s">
        <v>242</v>
      </c>
      <c r="B97" s="22">
        <v>0.1596</v>
      </c>
      <c r="C97" s="22" t="s">
        <v>243</v>
      </c>
      <c r="D97" s="22" t="s">
        <v>93</v>
      </c>
      <c r="E97" s="22"/>
      <c r="F97" s="22"/>
      <c r="G97" s="22"/>
      <c r="H97" s="23">
        <v>1078000</v>
      </c>
      <c r="I97" s="23">
        <v>172000</v>
      </c>
      <c r="J97" s="22"/>
      <c r="K97" s="22"/>
      <c r="L97" s="22"/>
      <c r="M97" s="22"/>
      <c r="N97" s="22"/>
      <c r="O97" s="22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20" t="s">
        <v>244</v>
      </c>
      <c r="B98" s="20">
        <v>0.0858</v>
      </c>
      <c r="C98" s="20" t="s">
        <v>245</v>
      </c>
      <c r="D98" s="20" t="s">
        <v>93</v>
      </c>
      <c r="E98" s="20"/>
      <c r="F98" s="20"/>
      <c r="G98" s="20"/>
      <c r="H98" s="21">
        <v>1026000</v>
      </c>
      <c r="I98" s="21">
        <v>88000</v>
      </c>
      <c r="J98" s="20"/>
      <c r="K98" s="20"/>
      <c r="L98" s="20"/>
      <c r="M98" s="20"/>
      <c r="N98" s="20"/>
      <c r="O98" s="20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22" t="s">
        <v>246</v>
      </c>
      <c r="B99" s="22">
        <v>0.0652</v>
      </c>
      <c r="C99" s="22" t="s">
        <v>247</v>
      </c>
      <c r="D99" s="22" t="s">
        <v>93</v>
      </c>
      <c r="E99" s="22"/>
      <c r="F99" s="22"/>
      <c r="G99" s="22"/>
      <c r="H99" s="23">
        <v>1028000</v>
      </c>
      <c r="I99" s="23">
        <v>67000</v>
      </c>
      <c r="J99" s="22"/>
      <c r="K99" s="22"/>
      <c r="L99" s="22"/>
      <c r="M99" s="22"/>
      <c r="N99" s="22"/>
      <c r="O99" s="22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20" t="s">
        <v>248</v>
      </c>
      <c r="B100" s="20">
        <v>0.0908</v>
      </c>
      <c r="C100" s="20" t="s">
        <v>249</v>
      </c>
      <c r="D100" s="20" t="s">
        <v>93</v>
      </c>
      <c r="E100" s="20"/>
      <c r="F100" s="20"/>
      <c r="G100" s="20"/>
      <c r="H100" s="21">
        <v>1024000</v>
      </c>
      <c r="I100" s="21">
        <v>93000</v>
      </c>
      <c r="J100" s="20"/>
      <c r="K100" s="20"/>
      <c r="L100" s="20"/>
      <c r="M100" s="20"/>
      <c r="N100" s="20"/>
      <c r="O100" s="20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22" t="s">
        <v>250</v>
      </c>
      <c r="B101" s="22">
        <v>0.0671</v>
      </c>
      <c r="C101" s="22" t="s">
        <v>251</v>
      </c>
      <c r="D101" s="22" t="s">
        <v>93</v>
      </c>
      <c r="E101" s="22"/>
      <c r="F101" s="22"/>
      <c r="G101" s="22"/>
      <c r="H101" s="23">
        <v>1028000</v>
      </c>
      <c r="I101" s="23">
        <v>69000</v>
      </c>
      <c r="J101" s="22"/>
      <c r="K101" s="22"/>
      <c r="L101" s="22"/>
      <c r="M101" s="22"/>
      <c r="N101" s="22"/>
      <c r="O101" s="22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20" t="s">
        <v>252</v>
      </c>
      <c r="B102" s="20">
        <v>0.0925</v>
      </c>
      <c r="C102" s="20" t="s">
        <v>253</v>
      </c>
      <c r="D102" s="20" t="s">
        <v>93</v>
      </c>
      <c r="E102" s="20"/>
      <c r="F102" s="20"/>
      <c r="G102" s="20"/>
      <c r="H102" s="21">
        <v>1027000</v>
      </c>
      <c r="I102" s="21">
        <v>95000</v>
      </c>
      <c r="J102" s="20"/>
      <c r="K102" s="20"/>
      <c r="L102" s="20"/>
      <c r="M102" s="20"/>
      <c r="N102" s="20"/>
      <c r="O102" s="20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22" t="s">
        <v>254</v>
      </c>
      <c r="B103" s="22">
        <v>0.1544</v>
      </c>
      <c r="C103" s="22" t="s">
        <v>255</v>
      </c>
      <c r="D103" s="22" t="s">
        <v>93</v>
      </c>
      <c r="E103" s="22"/>
      <c r="F103" s="22"/>
      <c r="G103" s="22"/>
      <c r="H103" s="23">
        <v>900000</v>
      </c>
      <c r="I103" s="23">
        <v>139000</v>
      </c>
      <c r="J103" s="22"/>
      <c r="K103" s="22"/>
      <c r="L103" s="22"/>
      <c r="M103" s="22"/>
      <c r="N103" s="22"/>
      <c r="O103" s="22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20" t="s">
        <v>256</v>
      </c>
      <c r="B104" s="20">
        <v>0.0915</v>
      </c>
      <c r="C104" s="20" t="s">
        <v>257</v>
      </c>
      <c r="D104" s="20" t="s">
        <v>93</v>
      </c>
      <c r="E104" s="20"/>
      <c r="F104" s="20"/>
      <c r="G104" s="20"/>
      <c r="H104" s="21">
        <v>1006000</v>
      </c>
      <c r="I104" s="21">
        <v>92000</v>
      </c>
      <c r="J104" s="20"/>
      <c r="K104" s="20"/>
      <c r="L104" s="20"/>
      <c r="M104" s="20"/>
      <c r="N104" s="20"/>
      <c r="O104" s="20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22" t="s">
        <v>258</v>
      </c>
      <c r="B105" s="22">
        <v>0.125</v>
      </c>
      <c r="C105" s="22" t="s">
        <v>259</v>
      </c>
      <c r="D105" s="22" t="s">
        <v>93</v>
      </c>
      <c r="E105" s="22"/>
      <c r="F105" s="22"/>
      <c r="G105" s="22"/>
      <c r="H105" s="23">
        <v>1000000</v>
      </c>
      <c r="I105" s="23">
        <v>125000</v>
      </c>
      <c r="J105" s="22"/>
      <c r="K105" s="22"/>
      <c r="L105" s="22"/>
      <c r="M105" s="22"/>
      <c r="N105" s="22"/>
      <c r="O105" s="22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20" t="s">
        <v>260</v>
      </c>
      <c r="B106" s="20">
        <v>0.1655</v>
      </c>
      <c r="C106" s="20" t="s">
        <v>261</v>
      </c>
      <c r="D106" s="20" t="s">
        <v>93</v>
      </c>
      <c r="E106" s="20"/>
      <c r="F106" s="20"/>
      <c r="G106" s="20"/>
      <c r="H106" s="21">
        <v>111556</v>
      </c>
      <c r="I106" s="21">
        <v>18458</v>
      </c>
      <c r="J106" s="20"/>
      <c r="K106" s="20"/>
      <c r="L106" s="20"/>
      <c r="M106" s="20"/>
      <c r="N106" s="20"/>
      <c r="O106" s="20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22" t="s">
        <v>262</v>
      </c>
      <c r="B107" s="22">
        <v>0.0777</v>
      </c>
      <c r="C107" s="22" t="s">
        <v>263</v>
      </c>
      <c r="D107" s="22" t="s">
        <v>93</v>
      </c>
      <c r="E107" s="22"/>
      <c r="F107" s="22"/>
      <c r="G107" s="22"/>
      <c r="H107" s="23">
        <v>263429</v>
      </c>
      <c r="I107" s="23">
        <v>20469</v>
      </c>
      <c r="J107" s="22"/>
      <c r="K107" s="22"/>
      <c r="L107" s="22"/>
      <c r="M107" s="22"/>
      <c r="N107" s="22"/>
      <c r="O107" s="22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20" t="s">
        <v>264</v>
      </c>
      <c r="B108" s="20">
        <v>0.3503</v>
      </c>
      <c r="C108" s="20" t="s">
        <v>265</v>
      </c>
      <c r="D108" s="20" t="s">
        <v>93</v>
      </c>
      <c r="E108" s="20"/>
      <c r="F108" s="20"/>
      <c r="G108" s="20"/>
      <c r="H108" s="21">
        <v>47208</v>
      </c>
      <c r="I108" s="21">
        <v>16535</v>
      </c>
      <c r="J108" s="20"/>
      <c r="K108" s="20"/>
      <c r="L108" s="20"/>
      <c r="M108" s="20"/>
      <c r="N108" s="20"/>
      <c r="O108" s="20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22" t="s">
        <v>266</v>
      </c>
      <c r="B109" s="22">
        <v>0.1595</v>
      </c>
      <c r="C109" s="22" t="s">
        <v>267</v>
      </c>
      <c r="D109" s="22" t="s">
        <v>93</v>
      </c>
      <c r="E109" s="22"/>
      <c r="F109" s="22"/>
      <c r="G109" s="22"/>
      <c r="H109" s="23">
        <v>7655</v>
      </c>
      <c r="I109" s="23">
        <v>1221</v>
      </c>
      <c r="J109" s="22"/>
      <c r="K109" s="22"/>
      <c r="L109" s="22"/>
      <c r="M109" s="22"/>
      <c r="N109" s="22"/>
      <c r="O109" s="22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20" t="s">
        <v>268</v>
      </c>
      <c r="B110" s="20">
        <v>0.1566</v>
      </c>
      <c r="C110" s="20" t="s">
        <v>269</v>
      </c>
      <c r="D110" s="20" t="s">
        <v>93</v>
      </c>
      <c r="E110" s="20"/>
      <c r="F110" s="20"/>
      <c r="G110" s="20"/>
      <c r="H110" s="21">
        <v>188931</v>
      </c>
      <c r="I110" s="21">
        <v>29591</v>
      </c>
      <c r="J110" s="20"/>
      <c r="K110" s="20"/>
      <c r="L110" s="20"/>
      <c r="M110" s="20"/>
      <c r="N110" s="20"/>
      <c r="O110" s="20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22" t="s">
        <v>270</v>
      </c>
      <c r="B111" s="22">
        <v>0.1334</v>
      </c>
      <c r="C111" s="22" t="s">
        <v>271</v>
      </c>
      <c r="D111" s="22" t="s">
        <v>93</v>
      </c>
      <c r="E111" s="22"/>
      <c r="F111" s="22"/>
      <c r="G111" s="22"/>
      <c r="H111" s="23">
        <v>110720</v>
      </c>
      <c r="I111" s="23">
        <v>14766</v>
      </c>
      <c r="J111" s="22"/>
      <c r="K111" s="22"/>
      <c r="L111" s="22"/>
      <c r="M111" s="22"/>
      <c r="N111" s="22"/>
      <c r="O111" s="22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20" t="s">
        <v>272</v>
      </c>
      <c r="B112" s="20">
        <v>0.0723</v>
      </c>
      <c r="C112" s="20" t="s">
        <v>273</v>
      </c>
      <c r="D112" s="20" t="s">
        <v>93</v>
      </c>
      <c r="E112" s="20"/>
      <c r="F112" s="20"/>
      <c r="G112" s="20"/>
      <c r="H112" s="21">
        <v>196902</v>
      </c>
      <c r="I112" s="21">
        <v>14242</v>
      </c>
      <c r="J112" s="20"/>
      <c r="K112" s="20"/>
      <c r="L112" s="20"/>
      <c r="M112" s="20"/>
      <c r="N112" s="20"/>
      <c r="O112" s="20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22" t="s">
        <v>274</v>
      </c>
      <c r="B113" s="22">
        <v>0.1311</v>
      </c>
      <c r="C113" s="22" t="s">
        <v>275</v>
      </c>
      <c r="D113" s="22" t="s">
        <v>93</v>
      </c>
      <c r="E113" s="22"/>
      <c r="F113" s="22"/>
      <c r="G113" s="22"/>
      <c r="H113" s="23">
        <v>103561</v>
      </c>
      <c r="I113" s="23">
        <v>13581</v>
      </c>
      <c r="J113" s="22"/>
      <c r="K113" s="22"/>
      <c r="L113" s="22"/>
      <c r="M113" s="22"/>
      <c r="N113" s="22"/>
      <c r="O113" s="22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20" t="s">
        <v>276</v>
      </c>
      <c r="B114" s="20">
        <v>0.1804</v>
      </c>
      <c r="C114" s="20" t="s">
        <v>277</v>
      </c>
      <c r="D114" s="20" t="s">
        <v>93</v>
      </c>
      <c r="E114" s="20"/>
      <c r="F114" s="20"/>
      <c r="G114" s="20"/>
      <c r="H114" s="21">
        <v>75178</v>
      </c>
      <c r="I114" s="21">
        <v>13560</v>
      </c>
      <c r="J114" s="20"/>
      <c r="K114" s="20"/>
      <c r="L114" s="20"/>
      <c r="M114" s="20"/>
      <c r="N114" s="20"/>
      <c r="O114" s="20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22" t="s">
        <v>278</v>
      </c>
      <c r="B115" s="22">
        <v>0.2959</v>
      </c>
      <c r="C115" s="22" t="s">
        <v>279</v>
      </c>
      <c r="D115" s="22" t="s">
        <v>93</v>
      </c>
      <c r="E115" s="22"/>
      <c r="F115" s="22"/>
      <c r="G115" s="22"/>
      <c r="H115" s="23">
        <v>42116</v>
      </c>
      <c r="I115" s="23">
        <v>12463</v>
      </c>
      <c r="J115" s="22"/>
      <c r="K115" s="22"/>
      <c r="L115" s="22"/>
      <c r="M115" s="22"/>
      <c r="N115" s="22"/>
      <c r="O115" s="22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20" t="s">
        <v>280</v>
      </c>
      <c r="B116" s="20">
        <v>0.2104</v>
      </c>
      <c r="C116" s="20" t="s">
        <v>281</v>
      </c>
      <c r="D116" s="20" t="s">
        <v>93</v>
      </c>
      <c r="E116" s="20"/>
      <c r="F116" s="20"/>
      <c r="G116" s="20"/>
      <c r="H116" s="21">
        <v>33465</v>
      </c>
      <c r="I116" s="21">
        <v>7041</v>
      </c>
      <c r="J116" s="20"/>
      <c r="K116" s="20"/>
      <c r="L116" s="20"/>
      <c r="M116" s="20"/>
      <c r="N116" s="20"/>
      <c r="O116" s="20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22" t="s">
        <v>282</v>
      </c>
      <c r="B117" s="22">
        <v>0.3829</v>
      </c>
      <c r="C117" s="22" t="s">
        <v>283</v>
      </c>
      <c r="D117" s="22" t="s">
        <v>93</v>
      </c>
      <c r="E117" s="22"/>
      <c r="F117" s="22"/>
      <c r="G117" s="22"/>
      <c r="H117" s="23">
        <v>17815</v>
      </c>
      <c r="I117" s="23">
        <v>6821</v>
      </c>
      <c r="J117" s="22"/>
      <c r="K117" s="22"/>
      <c r="L117" s="22"/>
      <c r="M117" s="22"/>
      <c r="N117" s="22"/>
      <c r="O117" s="22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20" t="s">
        <v>284</v>
      </c>
      <c r="B118" s="20">
        <v>0.5105</v>
      </c>
      <c r="C118" s="20" t="s">
        <v>285</v>
      </c>
      <c r="D118" s="20" t="s">
        <v>93</v>
      </c>
      <c r="E118" s="20"/>
      <c r="F118" s="20"/>
      <c r="G118" s="20"/>
      <c r="H118" s="21">
        <v>11380</v>
      </c>
      <c r="I118" s="21">
        <v>5809</v>
      </c>
      <c r="J118" s="20"/>
      <c r="K118" s="20"/>
      <c r="L118" s="20"/>
      <c r="M118" s="20"/>
      <c r="N118" s="20"/>
      <c r="O118" s="20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22" t="s">
        <v>286</v>
      </c>
      <c r="B119" s="22">
        <v>0.2425</v>
      </c>
      <c r="C119" s="22" t="s">
        <v>277</v>
      </c>
      <c r="D119" s="22" t="s">
        <v>93</v>
      </c>
      <c r="E119" s="22"/>
      <c r="F119" s="22"/>
      <c r="G119" s="22"/>
      <c r="H119" s="23">
        <v>447782</v>
      </c>
      <c r="I119" s="23">
        <v>108609</v>
      </c>
      <c r="J119" s="22"/>
      <c r="K119" s="22"/>
      <c r="L119" s="22"/>
      <c r="M119" s="22"/>
      <c r="N119" s="22"/>
      <c r="O119" s="22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20" t="s">
        <v>287</v>
      </c>
      <c r="B120" s="20">
        <v>0.2903</v>
      </c>
      <c r="C120" s="20" t="s">
        <v>288</v>
      </c>
      <c r="D120" s="20" t="s">
        <v>93</v>
      </c>
      <c r="E120" s="20"/>
      <c r="F120" s="20"/>
      <c r="G120" s="20"/>
      <c r="H120" s="21">
        <v>141926</v>
      </c>
      <c r="I120" s="21">
        <v>41206</v>
      </c>
      <c r="J120" s="20"/>
      <c r="K120" s="20"/>
      <c r="L120" s="20"/>
      <c r="M120" s="20"/>
      <c r="N120" s="20"/>
      <c r="O120" s="20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22" t="s">
        <v>289</v>
      </c>
      <c r="B121" s="22">
        <v>0.368</v>
      </c>
      <c r="C121" s="22" t="s">
        <v>290</v>
      </c>
      <c r="D121" s="22" t="s">
        <v>93</v>
      </c>
      <c r="E121" s="22"/>
      <c r="F121" s="22"/>
      <c r="G121" s="22"/>
      <c r="H121" s="23">
        <v>75857</v>
      </c>
      <c r="I121" s="23">
        <v>27919</v>
      </c>
      <c r="J121" s="22"/>
      <c r="K121" s="22"/>
      <c r="L121" s="22"/>
      <c r="M121" s="22"/>
      <c r="N121" s="22"/>
      <c r="O121" s="22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20" t="s">
        <v>291</v>
      </c>
      <c r="B122" s="20">
        <v>0.5988</v>
      </c>
      <c r="C122" s="20" t="s">
        <v>292</v>
      </c>
      <c r="D122" s="20" t="s">
        <v>93</v>
      </c>
      <c r="E122" s="20"/>
      <c r="F122" s="20"/>
      <c r="G122" s="20"/>
      <c r="H122" s="21">
        <v>34159</v>
      </c>
      <c r="I122" s="21">
        <v>20456</v>
      </c>
      <c r="J122" s="20"/>
      <c r="K122" s="20"/>
      <c r="L122" s="20"/>
      <c r="M122" s="20"/>
      <c r="N122" s="20"/>
      <c r="O122" s="20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22" t="s">
        <v>293</v>
      </c>
      <c r="B123" s="22">
        <v>0.2022</v>
      </c>
      <c r="C123" s="22" t="s">
        <v>294</v>
      </c>
      <c r="D123" s="22" t="s">
        <v>93</v>
      </c>
      <c r="E123" s="22"/>
      <c r="F123" s="22"/>
      <c r="G123" s="22"/>
      <c r="H123" s="23">
        <v>6035</v>
      </c>
      <c r="I123" s="23">
        <v>1220</v>
      </c>
      <c r="J123" s="22"/>
      <c r="K123" s="22"/>
      <c r="L123" s="22"/>
      <c r="M123" s="22"/>
      <c r="N123" s="22"/>
      <c r="O123" s="22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20" t="s">
        <v>295</v>
      </c>
      <c r="B124" s="20">
        <v>0.1698</v>
      </c>
      <c r="C124" s="20" t="s">
        <v>296</v>
      </c>
      <c r="D124" s="20" t="s">
        <v>93</v>
      </c>
      <c r="E124" s="20"/>
      <c r="F124" s="20"/>
      <c r="G124" s="20"/>
      <c r="H124" s="21">
        <v>181507</v>
      </c>
      <c r="I124" s="21">
        <v>30822</v>
      </c>
      <c r="J124" s="20"/>
      <c r="K124" s="20"/>
      <c r="L124" s="20"/>
      <c r="M124" s="20"/>
      <c r="N124" s="20"/>
      <c r="O124" s="20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22" t="s">
        <v>297</v>
      </c>
      <c r="B125" s="22">
        <v>0.2523</v>
      </c>
      <c r="C125" s="22" t="s">
        <v>298</v>
      </c>
      <c r="D125" s="22" t="s">
        <v>93</v>
      </c>
      <c r="E125" s="22"/>
      <c r="F125" s="22"/>
      <c r="G125" s="22"/>
      <c r="H125" s="23">
        <v>82161</v>
      </c>
      <c r="I125" s="23">
        <v>20729</v>
      </c>
      <c r="J125" s="22"/>
      <c r="K125" s="22"/>
      <c r="L125" s="22"/>
      <c r="M125" s="22"/>
      <c r="N125" s="22"/>
      <c r="O125" s="22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20" t="s">
        <v>299</v>
      </c>
      <c r="B126" s="20">
        <v>0.1282</v>
      </c>
      <c r="C126" s="20" t="s">
        <v>300</v>
      </c>
      <c r="D126" s="20" t="s">
        <v>93</v>
      </c>
      <c r="E126" s="20"/>
      <c r="F126" s="20"/>
      <c r="G126" s="20"/>
      <c r="H126" s="21">
        <v>127455</v>
      </c>
      <c r="I126" s="21">
        <v>16335</v>
      </c>
      <c r="J126" s="20"/>
      <c r="K126" s="20"/>
      <c r="L126" s="20"/>
      <c r="M126" s="20"/>
      <c r="N126" s="20"/>
      <c r="O126" s="20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22" t="s">
        <v>301</v>
      </c>
      <c r="B127" s="22">
        <v>0.3968</v>
      </c>
      <c r="C127" s="22" t="s">
        <v>302</v>
      </c>
      <c r="D127" s="22" t="s">
        <v>93</v>
      </c>
      <c r="E127" s="22"/>
      <c r="F127" s="22"/>
      <c r="G127" s="22"/>
      <c r="H127" s="23">
        <v>30574</v>
      </c>
      <c r="I127" s="23">
        <v>12132</v>
      </c>
      <c r="J127" s="22"/>
      <c r="K127" s="22"/>
      <c r="L127" s="22"/>
      <c r="M127" s="22"/>
      <c r="N127" s="22"/>
      <c r="O127" s="22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20" t="s">
        <v>303</v>
      </c>
      <c r="B128" s="20">
        <v>0.2294</v>
      </c>
      <c r="C128" s="20" t="s">
        <v>304</v>
      </c>
      <c r="D128" s="20" t="s">
        <v>93</v>
      </c>
      <c r="E128" s="20"/>
      <c r="F128" s="20"/>
      <c r="G128" s="20"/>
      <c r="H128" s="21">
        <v>168657</v>
      </c>
      <c r="I128" s="21">
        <v>38694</v>
      </c>
      <c r="J128" s="20"/>
      <c r="K128" s="20"/>
      <c r="L128" s="20"/>
      <c r="M128" s="20"/>
      <c r="N128" s="20"/>
      <c r="O128" s="20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22" t="s">
        <v>305</v>
      </c>
      <c r="B129" s="22">
        <v>0.6921</v>
      </c>
      <c r="C129" s="22" t="s">
        <v>306</v>
      </c>
      <c r="D129" s="22" t="s">
        <v>93</v>
      </c>
      <c r="E129" s="22"/>
      <c r="F129" s="22"/>
      <c r="G129" s="22"/>
      <c r="H129" s="23">
        <v>49516</v>
      </c>
      <c r="I129" s="23">
        <v>34269</v>
      </c>
      <c r="J129" s="22"/>
      <c r="K129" s="22"/>
      <c r="L129" s="22"/>
      <c r="M129" s="22"/>
      <c r="N129" s="22"/>
      <c r="O129" s="22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20" t="s">
        <v>307</v>
      </c>
      <c r="B130" s="20">
        <v>0.5303</v>
      </c>
      <c r="C130" s="20" t="s">
        <v>308</v>
      </c>
      <c r="D130" s="20" t="s">
        <v>93</v>
      </c>
      <c r="E130" s="20"/>
      <c r="F130" s="20"/>
      <c r="G130" s="20"/>
      <c r="H130" s="21">
        <v>37130</v>
      </c>
      <c r="I130" s="21">
        <v>19691</v>
      </c>
      <c r="J130" s="20"/>
      <c r="K130" s="20"/>
      <c r="L130" s="20"/>
      <c r="M130" s="20"/>
      <c r="N130" s="20"/>
      <c r="O130" s="20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22" t="s">
        <v>309</v>
      </c>
      <c r="B131" s="22">
        <v>0.0695</v>
      </c>
      <c r="C131" s="22" t="s">
        <v>310</v>
      </c>
      <c r="D131" s="22" t="s">
        <v>93</v>
      </c>
      <c r="E131" s="22"/>
      <c r="F131" s="22"/>
      <c r="G131" s="22"/>
      <c r="H131" s="23">
        <v>213171</v>
      </c>
      <c r="I131" s="23">
        <v>14814</v>
      </c>
      <c r="J131" s="22"/>
      <c r="K131" s="22"/>
      <c r="L131" s="22"/>
      <c r="M131" s="22"/>
      <c r="N131" s="22"/>
      <c r="O131" s="22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20" t="s">
        <v>311</v>
      </c>
      <c r="B132" s="20">
        <v>0.4201</v>
      </c>
      <c r="C132" s="20" t="s">
        <v>312</v>
      </c>
      <c r="D132" s="20" t="s">
        <v>93</v>
      </c>
      <c r="E132" s="20"/>
      <c r="F132" s="20"/>
      <c r="G132" s="20"/>
      <c r="H132" s="21">
        <v>34696</v>
      </c>
      <c r="I132" s="21">
        <v>14577</v>
      </c>
      <c r="J132" s="20"/>
      <c r="K132" s="20"/>
      <c r="L132" s="20"/>
      <c r="M132" s="20"/>
      <c r="N132" s="20"/>
      <c r="O132" s="20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22" t="s">
        <v>313</v>
      </c>
      <c r="B133" s="22">
        <v>0.3512</v>
      </c>
      <c r="C133" s="22" t="s">
        <v>314</v>
      </c>
      <c r="D133" s="22" t="s">
        <v>93</v>
      </c>
      <c r="E133" s="22"/>
      <c r="F133" s="22"/>
      <c r="G133" s="22"/>
      <c r="H133" s="23">
        <v>40972</v>
      </c>
      <c r="I133" s="23">
        <v>14388</v>
      </c>
      <c r="J133" s="22"/>
      <c r="K133" s="22"/>
      <c r="L133" s="22"/>
      <c r="M133" s="22"/>
      <c r="N133" s="22"/>
      <c r="O133" s="22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20" t="s">
        <v>315</v>
      </c>
      <c r="B134" s="20">
        <v>1.0271</v>
      </c>
      <c r="C134" s="20" t="s">
        <v>316</v>
      </c>
      <c r="D134" s="20" t="s">
        <v>93</v>
      </c>
      <c r="E134" s="20"/>
      <c r="F134" s="20"/>
      <c r="G134" s="20"/>
      <c r="H134" s="21">
        <v>908502</v>
      </c>
      <c r="I134" s="21">
        <v>933079</v>
      </c>
      <c r="J134" s="20"/>
      <c r="K134" s="20"/>
      <c r="L134" s="20"/>
      <c r="M134" s="20"/>
      <c r="N134" s="20"/>
      <c r="O134" s="20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22" t="s">
        <v>317</v>
      </c>
      <c r="B135" s="22">
        <v>0.8467</v>
      </c>
      <c r="C135" s="22" t="s">
        <v>318</v>
      </c>
      <c r="D135" s="22" t="s">
        <v>93</v>
      </c>
      <c r="E135" s="22"/>
      <c r="F135" s="22"/>
      <c r="G135" s="22"/>
      <c r="H135" s="23">
        <v>20186</v>
      </c>
      <c r="I135" s="23">
        <v>17092</v>
      </c>
      <c r="J135" s="22"/>
      <c r="K135" s="22"/>
      <c r="L135" s="22"/>
      <c r="M135" s="22"/>
      <c r="N135" s="22"/>
      <c r="O135" s="22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20" t="s">
        <v>319</v>
      </c>
      <c r="B136" s="20">
        <v>0.9107</v>
      </c>
      <c r="C136" s="20" t="s">
        <v>320</v>
      </c>
      <c r="D136" s="20" t="s">
        <v>93</v>
      </c>
      <c r="E136" s="20"/>
      <c r="F136" s="20"/>
      <c r="G136" s="20"/>
      <c r="H136" s="21">
        <v>13231</v>
      </c>
      <c r="I136" s="21">
        <v>12050</v>
      </c>
      <c r="J136" s="20"/>
      <c r="K136" s="20"/>
      <c r="L136" s="20"/>
      <c r="M136" s="20"/>
      <c r="N136" s="20"/>
      <c r="O136" s="20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22" t="s">
        <v>321</v>
      </c>
      <c r="B137" s="22">
        <v>0.2844</v>
      </c>
      <c r="C137" s="22" t="s">
        <v>322</v>
      </c>
      <c r="D137" s="22" t="s">
        <v>93</v>
      </c>
      <c r="E137" s="22"/>
      <c r="F137" s="22"/>
      <c r="G137" s="22"/>
      <c r="H137" s="23">
        <v>38368</v>
      </c>
      <c r="I137" s="23">
        <v>10913</v>
      </c>
      <c r="J137" s="22"/>
      <c r="K137" s="22"/>
      <c r="L137" s="22"/>
      <c r="M137" s="22"/>
      <c r="N137" s="22"/>
      <c r="O137" s="22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20" t="s">
        <v>323</v>
      </c>
      <c r="B138" s="20">
        <v>0.8128</v>
      </c>
      <c r="C138" s="20" t="s">
        <v>324</v>
      </c>
      <c r="D138" s="20" t="s">
        <v>93</v>
      </c>
      <c r="E138" s="20"/>
      <c r="F138" s="20"/>
      <c r="G138" s="20"/>
      <c r="H138" s="21">
        <v>11520</v>
      </c>
      <c r="I138" s="21">
        <v>9363</v>
      </c>
      <c r="J138" s="20"/>
      <c r="K138" s="20"/>
      <c r="L138" s="20"/>
      <c r="M138" s="20"/>
      <c r="N138" s="20"/>
      <c r="O138" s="20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22" t="s">
        <v>325</v>
      </c>
      <c r="B139" s="22">
        <v>0.7408</v>
      </c>
      <c r="C139" s="22" t="s">
        <v>326</v>
      </c>
      <c r="D139" s="22" t="s">
        <v>93</v>
      </c>
      <c r="E139" s="22"/>
      <c r="F139" s="22"/>
      <c r="G139" s="22"/>
      <c r="H139" s="23">
        <v>12602</v>
      </c>
      <c r="I139" s="23">
        <v>9335</v>
      </c>
      <c r="J139" s="22"/>
      <c r="K139" s="22"/>
      <c r="L139" s="22"/>
      <c r="M139" s="22"/>
      <c r="N139" s="22"/>
      <c r="O139" s="22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20" t="s">
        <v>327</v>
      </c>
      <c r="B140" s="20">
        <v>0.5657</v>
      </c>
      <c r="C140" s="20" t="s">
        <v>328</v>
      </c>
      <c r="D140" s="20" t="s">
        <v>93</v>
      </c>
      <c r="E140" s="20"/>
      <c r="F140" s="20"/>
      <c r="G140" s="20"/>
      <c r="H140" s="21">
        <v>12429</v>
      </c>
      <c r="I140" s="21">
        <v>7031</v>
      </c>
      <c r="J140" s="20"/>
      <c r="K140" s="20"/>
      <c r="L140" s="20"/>
      <c r="M140" s="20"/>
      <c r="N140" s="20"/>
      <c r="O140" s="20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22" t="s">
        <v>329</v>
      </c>
      <c r="B141" s="22">
        <v>0.5545</v>
      </c>
      <c r="C141" s="22" t="s">
        <v>330</v>
      </c>
      <c r="D141" s="22" t="s">
        <v>93</v>
      </c>
      <c r="E141" s="22"/>
      <c r="F141" s="22"/>
      <c r="G141" s="22"/>
      <c r="H141" s="23">
        <v>14057</v>
      </c>
      <c r="I141" s="23">
        <v>7794</v>
      </c>
      <c r="J141" s="22"/>
      <c r="K141" s="22"/>
      <c r="L141" s="22"/>
      <c r="M141" s="22"/>
      <c r="N141" s="22"/>
      <c r="O141" s="22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20" t="s">
        <v>331</v>
      </c>
      <c r="B142" s="20">
        <v>0.4018</v>
      </c>
      <c r="C142" s="20" t="s">
        <v>332</v>
      </c>
      <c r="D142" s="20" t="s">
        <v>93</v>
      </c>
      <c r="E142" s="20"/>
      <c r="F142" s="20"/>
      <c r="G142" s="20"/>
      <c r="H142" s="21">
        <v>20167</v>
      </c>
      <c r="I142" s="21">
        <v>8104</v>
      </c>
      <c r="J142" s="20"/>
      <c r="K142" s="20"/>
      <c r="L142" s="20"/>
      <c r="M142" s="20"/>
      <c r="N142" s="20"/>
      <c r="O142" s="20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22" t="s">
        <v>333</v>
      </c>
      <c r="B143" s="22">
        <v>0.5681</v>
      </c>
      <c r="C143" s="22" t="s">
        <v>334</v>
      </c>
      <c r="D143" s="22" t="s">
        <v>93</v>
      </c>
      <c r="E143" s="22"/>
      <c r="F143" s="22"/>
      <c r="G143" s="22"/>
      <c r="H143" s="23">
        <v>8094</v>
      </c>
      <c r="I143" s="23">
        <v>4598</v>
      </c>
      <c r="J143" s="22"/>
      <c r="K143" s="22"/>
      <c r="L143" s="22"/>
      <c r="M143" s="22"/>
      <c r="N143" s="22"/>
      <c r="O143" s="22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20" t="s">
        <v>335</v>
      </c>
      <c r="B144" s="20">
        <v>0.0682</v>
      </c>
      <c r="C144" s="20" t="s">
        <v>113</v>
      </c>
      <c r="D144" s="20" t="s">
        <v>93</v>
      </c>
      <c r="E144" s="20"/>
      <c r="F144" s="20"/>
      <c r="G144" s="20"/>
      <c r="H144" s="21">
        <v>108789</v>
      </c>
      <c r="I144" s="21">
        <v>7420</v>
      </c>
      <c r="J144" s="20"/>
      <c r="K144" s="20"/>
      <c r="L144" s="20"/>
      <c r="M144" s="20"/>
      <c r="N144" s="20"/>
      <c r="O144" s="20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22" t="s">
        <v>336</v>
      </c>
      <c r="B145" s="22">
        <v>0.3968</v>
      </c>
      <c r="C145" s="22" t="s">
        <v>302</v>
      </c>
      <c r="D145" s="22" t="s">
        <v>93</v>
      </c>
      <c r="E145" s="22"/>
      <c r="F145" s="22"/>
      <c r="G145" s="22"/>
      <c r="H145" s="23">
        <v>30574</v>
      </c>
      <c r="I145" s="23">
        <v>12132</v>
      </c>
      <c r="J145" s="22"/>
      <c r="K145" s="22"/>
      <c r="L145" s="22"/>
      <c r="M145" s="22"/>
      <c r="N145" s="22"/>
      <c r="O145" s="22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20" t="s">
        <v>337</v>
      </c>
      <c r="B146" s="20">
        <v>0.3116</v>
      </c>
      <c r="C146" s="20" t="s">
        <v>338</v>
      </c>
      <c r="D146" s="20" t="s">
        <v>93</v>
      </c>
      <c r="E146" s="20"/>
      <c r="F146" s="20"/>
      <c r="G146" s="20"/>
      <c r="H146" s="21">
        <v>76128</v>
      </c>
      <c r="I146" s="21">
        <v>23725</v>
      </c>
      <c r="J146" s="20"/>
      <c r="K146" s="20"/>
      <c r="L146" s="20"/>
      <c r="M146" s="20"/>
      <c r="N146" s="20"/>
      <c r="O146" s="20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22" t="s">
        <v>339</v>
      </c>
      <c r="B147" s="22">
        <v>0.5489</v>
      </c>
      <c r="C147" s="22" t="s">
        <v>340</v>
      </c>
      <c r="D147" s="22" t="s">
        <v>93</v>
      </c>
      <c r="E147" s="22"/>
      <c r="F147" s="22"/>
      <c r="G147" s="22"/>
      <c r="H147" s="23">
        <v>14787</v>
      </c>
      <c r="I147" s="23">
        <v>8116</v>
      </c>
      <c r="J147" s="22"/>
      <c r="K147" s="22"/>
      <c r="L147" s="22"/>
      <c r="M147" s="22"/>
      <c r="N147" s="22"/>
      <c r="O147" s="22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20" t="s">
        <v>341</v>
      </c>
      <c r="B148" s="20">
        <v>0.6066</v>
      </c>
      <c r="C148" s="20" t="s">
        <v>342</v>
      </c>
      <c r="D148" s="20" t="s">
        <v>93</v>
      </c>
      <c r="E148" s="20"/>
      <c r="F148" s="20"/>
      <c r="G148" s="20"/>
      <c r="H148" s="21">
        <v>11787</v>
      </c>
      <c r="I148" s="21">
        <v>7150</v>
      </c>
      <c r="J148" s="20"/>
      <c r="K148" s="20"/>
      <c r="L148" s="20"/>
      <c r="M148" s="20"/>
      <c r="N148" s="20"/>
      <c r="O148" s="20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22" t="s">
        <v>343</v>
      </c>
      <c r="B149" s="22">
        <v>0.3393</v>
      </c>
      <c r="C149" s="22" t="s">
        <v>344</v>
      </c>
      <c r="D149" s="22" t="s">
        <v>93</v>
      </c>
      <c r="E149" s="22"/>
      <c r="F149" s="22"/>
      <c r="G149" s="22"/>
      <c r="H149" s="23">
        <v>20060</v>
      </c>
      <c r="I149" s="23">
        <v>6807</v>
      </c>
      <c r="J149" s="22"/>
      <c r="K149" s="22"/>
      <c r="L149" s="22"/>
      <c r="M149" s="22"/>
      <c r="N149" s="22"/>
      <c r="O149" s="22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20" t="s">
        <v>345</v>
      </c>
      <c r="B150" s="20">
        <v>0.1644</v>
      </c>
      <c r="C150" s="20" t="s">
        <v>231</v>
      </c>
      <c r="D150" s="20" t="s">
        <v>93</v>
      </c>
      <c r="E150" s="20"/>
      <c r="F150" s="20"/>
      <c r="G150" s="20"/>
      <c r="H150" s="21">
        <v>1025062</v>
      </c>
      <c r="I150" s="21">
        <v>168536</v>
      </c>
      <c r="J150" s="20"/>
      <c r="K150" s="20"/>
      <c r="L150" s="20"/>
      <c r="M150" s="20"/>
      <c r="N150" s="20"/>
      <c r="O150" s="20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22" t="s">
        <v>346</v>
      </c>
      <c r="B151" s="22">
        <v>0.0927</v>
      </c>
      <c r="C151" s="22" t="s">
        <v>237</v>
      </c>
      <c r="D151" s="22" t="s">
        <v>93</v>
      </c>
      <c r="E151" s="22"/>
      <c r="F151" s="22"/>
      <c r="G151" s="22"/>
      <c r="H151" s="23">
        <v>1375783</v>
      </c>
      <c r="I151" s="23">
        <v>127560</v>
      </c>
      <c r="J151" s="22"/>
      <c r="K151" s="22"/>
      <c r="L151" s="22"/>
      <c r="M151" s="22"/>
      <c r="N151" s="22"/>
      <c r="O151" s="22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20" t="s">
        <v>347</v>
      </c>
      <c r="B152" s="20">
        <v>0.0858</v>
      </c>
      <c r="C152" s="20" t="s">
        <v>245</v>
      </c>
      <c r="D152" s="20" t="s">
        <v>93</v>
      </c>
      <c r="E152" s="20"/>
      <c r="F152" s="20"/>
      <c r="G152" s="20"/>
      <c r="H152" s="21">
        <v>1026173</v>
      </c>
      <c r="I152" s="21">
        <v>88044</v>
      </c>
      <c r="J152" s="20"/>
      <c r="K152" s="20"/>
      <c r="L152" s="20"/>
      <c r="M152" s="20"/>
      <c r="N152" s="20"/>
      <c r="O152" s="20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22" t="s">
        <v>348</v>
      </c>
      <c r="B153" s="22">
        <v>0.6291</v>
      </c>
      <c r="C153" s="22" t="s">
        <v>349</v>
      </c>
      <c r="D153" s="22" t="s">
        <v>93</v>
      </c>
      <c r="E153" s="22"/>
      <c r="F153" s="22"/>
      <c r="G153" s="22"/>
      <c r="H153" s="23">
        <v>111100</v>
      </c>
      <c r="I153" s="23">
        <v>69893</v>
      </c>
      <c r="J153" s="22"/>
      <c r="K153" s="22"/>
      <c r="L153" s="22"/>
      <c r="M153" s="22"/>
      <c r="N153" s="22"/>
      <c r="O153" s="22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20" t="s">
        <v>350</v>
      </c>
      <c r="B154" s="20">
        <v>0.1193</v>
      </c>
      <c r="C154" s="20" t="s">
        <v>351</v>
      </c>
      <c r="D154" s="20" t="s">
        <v>93</v>
      </c>
      <c r="E154" s="20"/>
      <c r="F154" s="20"/>
      <c r="G154" s="20"/>
      <c r="H154" s="21">
        <v>438700</v>
      </c>
      <c r="I154" s="21">
        <v>52339</v>
      </c>
      <c r="J154" s="20"/>
      <c r="K154" s="20"/>
      <c r="L154" s="20"/>
      <c r="M154" s="20"/>
      <c r="N154" s="20"/>
      <c r="O154" s="20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22" t="s">
        <v>352</v>
      </c>
      <c r="B155" s="22">
        <v>0.1142</v>
      </c>
      <c r="C155" s="22" t="s">
        <v>353</v>
      </c>
      <c r="D155" s="22" t="s">
        <v>93</v>
      </c>
      <c r="E155" s="22"/>
      <c r="F155" s="22"/>
      <c r="G155" s="22"/>
      <c r="H155" s="23">
        <v>370708</v>
      </c>
      <c r="I155" s="23">
        <v>42346</v>
      </c>
      <c r="J155" s="22"/>
      <c r="K155" s="22"/>
      <c r="L155" s="22"/>
      <c r="M155" s="22"/>
      <c r="N155" s="22"/>
      <c r="O155" s="22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20" t="s">
        <v>354</v>
      </c>
      <c r="B156" s="20">
        <v>0.0949</v>
      </c>
      <c r="C156" s="20" t="s">
        <v>355</v>
      </c>
      <c r="D156" s="20" t="s">
        <v>93</v>
      </c>
      <c r="E156" s="20"/>
      <c r="F156" s="20"/>
      <c r="G156" s="20"/>
      <c r="H156" s="21">
        <v>332552</v>
      </c>
      <c r="I156" s="21">
        <v>31544</v>
      </c>
      <c r="J156" s="20"/>
      <c r="K156" s="20"/>
      <c r="L156" s="20"/>
      <c r="M156" s="20"/>
      <c r="N156" s="20"/>
      <c r="O156" s="20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22" t="s">
        <v>356</v>
      </c>
      <c r="B157" s="22">
        <v>0.0827</v>
      </c>
      <c r="C157" s="22" t="s">
        <v>357</v>
      </c>
      <c r="D157" s="22" t="s">
        <v>93</v>
      </c>
      <c r="E157" s="22"/>
      <c r="F157" s="22"/>
      <c r="G157" s="22"/>
      <c r="H157" s="23">
        <v>261955</v>
      </c>
      <c r="I157" s="23">
        <v>21672</v>
      </c>
      <c r="J157" s="22"/>
      <c r="K157" s="22"/>
      <c r="L157" s="22"/>
      <c r="M157" s="22"/>
      <c r="N157" s="22"/>
      <c r="O157" s="22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20" t="s">
        <v>358</v>
      </c>
      <c r="B158" s="20">
        <v>0.4891</v>
      </c>
      <c r="C158" s="20" t="s">
        <v>359</v>
      </c>
      <c r="D158" s="20" t="s">
        <v>93</v>
      </c>
      <c r="E158" s="20"/>
      <c r="F158" s="20"/>
      <c r="G158" s="20"/>
      <c r="H158" s="21">
        <v>28355</v>
      </c>
      <c r="I158" s="21">
        <v>13868</v>
      </c>
      <c r="J158" s="20"/>
      <c r="K158" s="20"/>
      <c r="L158" s="20"/>
      <c r="M158" s="20"/>
      <c r="N158" s="20"/>
      <c r="O158" s="20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22" t="s">
        <v>360</v>
      </c>
      <c r="B159" s="22">
        <v>0.3967</v>
      </c>
      <c r="C159" s="22" t="s">
        <v>361</v>
      </c>
      <c r="D159" s="22" t="s">
        <v>93</v>
      </c>
      <c r="E159" s="22"/>
      <c r="F159" s="22"/>
      <c r="G159" s="22"/>
      <c r="H159" s="23">
        <v>20919</v>
      </c>
      <c r="I159" s="23">
        <v>8298</v>
      </c>
      <c r="J159" s="22"/>
      <c r="K159" s="22"/>
      <c r="L159" s="22"/>
      <c r="M159" s="22"/>
      <c r="N159" s="22"/>
      <c r="O159" s="22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20" t="s">
        <v>362</v>
      </c>
      <c r="B160" s="20">
        <v>0.5086</v>
      </c>
      <c r="C160" s="20" t="s">
        <v>363</v>
      </c>
      <c r="D160" s="20" t="s">
        <v>93</v>
      </c>
      <c r="E160" s="20"/>
      <c r="F160" s="20"/>
      <c r="G160" s="20"/>
      <c r="H160" s="21">
        <v>12835</v>
      </c>
      <c r="I160" s="21">
        <v>6528</v>
      </c>
      <c r="J160" s="20"/>
      <c r="K160" s="20"/>
      <c r="L160" s="20"/>
      <c r="M160" s="20"/>
      <c r="N160" s="20"/>
      <c r="O160" s="20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22" t="s">
        <v>364</v>
      </c>
      <c r="B161" s="22">
        <v>0.4043</v>
      </c>
      <c r="C161" s="22" t="s">
        <v>365</v>
      </c>
      <c r="D161" s="22" t="s">
        <v>93</v>
      </c>
      <c r="E161" s="22"/>
      <c r="F161" s="22"/>
      <c r="G161" s="22"/>
      <c r="H161" s="23">
        <v>18787</v>
      </c>
      <c r="I161" s="23">
        <v>7596</v>
      </c>
      <c r="J161" s="22"/>
      <c r="K161" s="22"/>
      <c r="L161" s="22"/>
      <c r="M161" s="22"/>
      <c r="N161" s="22"/>
      <c r="O161" s="22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20" t="s">
        <v>366</v>
      </c>
      <c r="B162" s="20">
        <v>0.2903</v>
      </c>
      <c r="C162" s="20" t="s">
        <v>288</v>
      </c>
      <c r="D162" s="20" t="s">
        <v>93</v>
      </c>
      <c r="E162" s="20"/>
      <c r="F162" s="20"/>
      <c r="G162" s="20"/>
      <c r="H162" s="21">
        <v>141926</v>
      </c>
      <c r="I162" s="21">
        <v>41206</v>
      </c>
      <c r="J162" s="20"/>
      <c r="K162" s="20"/>
      <c r="L162" s="20"/>
      <c r="M162" s="20"/>
      <c r="N162" s="20"/>
      <c r="O162" s="20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22" t="s">
        <v>367</v>
      </c>
      <c r="B163" s="22">
        <v>0.1114</v>
      </c>
      <c r="C163" s="22" t="s">
        <v>215</v>
      </c>
      <c r="D163" s="22" t="s">
        <v>93</v>
      </c>
      <c r="E163" s="22"/>
      <c r="F163" s="22"/>
      <c r="G163" s="22"/>
      <c r="H163" s="23">
        <v>1104000</v>
      </c>
      <c r="I163" s="23">
        <v>123000</v>
      </c>
      <c r="J163" s="22"/>
      <c r="K163" s="22"/>
      <c r="L163" s="22"/>
      <c r="M163" s="22"/>
      <c r="N163" s="22"/>
      <c r="O163" s="22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20" t="s">
        <v>368</v>
      </c>
      <c r="B164" s="20">
        <v>0.0715</v>
      </c>
      <c r="C164" s="20" t="s">
        <v>217</v>
      </c>
      <c r="D164" s="20" t="s">
        <v>93</v>
      </c>
      <c r="E164" s="20"/>
      <c r="F164" s="20"/>
      <c r="G164" s="20"/>
      <c r="H164" s="21">
        <v>1091000</v>
      </c>
      <c r="I164" s="21">
        <v>78000</v>
      </c>
      <c r="J164" s="20"/>
      <c r="K164" s="20"/>
      <c r="L164" s="20"/>
      <c r="M164" s="20"/>
      <c r="N164" s="20"/>
      <c r="O164" s="20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22" t="s">
        <v>369</v>
      </c>
      <c r="B165" s="22">
        <v>0.255</v>
      </c>
      <c r="C165" s="22" t="s">
        <v>370</v>
      </c>
      <c r="D165" s="22" t="s">
        <v>93</v>
      </c>
      <c r="E165" s="22"/>
      <c r="F165" s="22"/>
      <c r="G165" s="22"/>
      <c r="H165" s="23">
        <v>996000</v>
      </c>
      <c r="I165" s="23">
        <v>254000</v>
      </c>
      <c r="J165" s="22"/>
      <c r="K165" s="22"/>
      <c r="L165" s="22"/>
      <c r="M165" s="22"/>
      <c r="N165" s="22"/>
      <c r="O165" s="22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20" t="s">
        <v>371</v>
      </c>
      <c r="B166" s="20">
        <v>0.0954</v>
      </c>
      <c r="C166" s="20" t="s">
        <v>219</v>
      </c>
      <c r="D166" s="20" t="s">
        <v>93</v>
      </c>
      <c r="E166" s="20"/>
      <c r="F166" s="20"/>
      <c r="G166" s="20"/>
      <c r="H166" s="21">
        <v>650000</v>
      </c>
      <c r="I166" s="21">
        <v>62000</v>
      </c>
      <c r="J166" s="20"/>
      <c r="K166" s="20"/>
      <c r="L166" s="20"/>
      <c r="M166" s="20"/>
      <c r="N166" s="20"/>
      <c r="O166" s="20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22" t="s">
        <v>372</v>
      </c>
      <c r="B167" s="22">
        <v>0.0688</v>
      </c>
      <c r="C167" s="22" t="s">
        <v>373</v>
      </c>
      <c r="D167" s="22" t="s">
        <v>93</v>
      </c>
      <c r="E167" s="22"/>
      <c r="F167" s="22"/>
      <c r="G167" s="22"/>
      <c r="H167" s="23">
        <v>625000</v>
      </c>
      <c r="I167" s="23">
        <v>43000</v>
      </c>
      <c r="J167" s="22"/>
      <c r="K167" s="22"/>
      <c r="L167" s="22"/>
      <c r="M167" s="22"/>
      <c r="N167" s="22"/>
      <c r="O167" s="22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20" t="s">
        <v>374</v>
      </c>
      <c r="B168" s="20">
        <v>0.0828</v>
      </c>
      <c r="C168" s="20" t="s">
        <v>375</v>
      </c>
      <c r="D168" s="20" t="s">
        <v>93</v>
      </c>
      <c r="E168" s="20"/>
      <c r="F168" s="20"/>
      <c r="G168" s="20"/>
      <c r="H168" s="21">
        <v>326000</v>
      </c>
      <c r="I168" s="21">
        <v>27000</v>
      </c>
      <c r="J168" s="20"/>
      <c r="K168" s="20"/>
      <c r="L168" s="20"/>
      <c r="M168" s="20"/>
      <c r="N168" s="20"/>
      <c r="O168" s="20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22" t="s">
        <v>376</v>
      </c>
      <c r="B169" s="22">
        <v>0.0675</v>
      </c>
      <c r="C169" s="22" t="s">
        <v>377</v>
      </c>
      <c r="D169" s="22" t="s">
        <v>93</v>
      </c>
      <c r="E169" s="22"/>
      <c r="F169" s="22"/>
      <c r="G169" s="22"/>
      <c r="H169" s="23">
        <v>311000</v>
      </c>
      <c r="I169" s="23">
        <v>21000</v>
      </c>
      <c r="J169" s="22"/>
      <c r="K169" s="22"/>
      <c r="L169" s="22"/>
      <c r="M169" s="22"/>
      <c r="N169" s="22"/>
      <c r="O169" s="22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20" t="s">
        <v>378</v>
      </c>
      <c r="B170" s="20">
        <v>0.153</v>
      </c>
      <c r="C170" s="20" t="s">
        <v>379</v>
      </c>
      <c r="D170" s="20" t="s">
        <v>93</v>
      </c>
      <c r="E170" s="20"/>
      <c r="F170" s="20"/>
      <c r="G170" s="20"/>
      <c r="H170" s="21">
        <v>268000</v>
      </c>
      <c r="I170" s="21">
        <v>41000</v>
      </c>
      <c r="J170" s="20"/>
      <c r="K170" s="20"/>
      <c r="L170" s="20"/>
      <c r="M170" s="20"/>
      <c r="N170" s="20"/>
      <c r="O170" s="20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22" t="s">
        <v>380</v>
      </c>
      <c r="B171" s="22">
        <v>0.1495</v>
      </c>
      <c r="C171" s="22" t="s">
        <v>381</v>
      </c>
      <c r="D171" s="22" t="s">
        <v>93</v>
      </c>
      <c r="E171" s="22"/>
      <c r="F171" s="22"/>
      <c r="G171" s="22"/>
      <c r="H171" s="23">
        <v>1224000</v>
      </c>
      <c r="I171" s="23">
        <v>183000</v>
      </c>
      <c r="J171" s="22"/>
      <c r="K171" s="22"/>
      <c r="L171" s="22"/>
      <c r="M171" s="22"/>
      <c r="N171" s="22"/>
      <c r="O171" s="22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20" t="s">
        <v>382</v>
      </c>
      <c r="B172" s="20">
        <v>0.9954</v>
      </c>
      <c r="C172" s="20" t="s">
        <v>383</v>
      </c>
      <c r="D172" s="20" t="s">
        <v>93</v>
      </c>
      <c r="E172" s="20"/>
      <c r="F172" s="20"/>
      <c r="G172" s="20"/>
      <c r="H172" s="21">
        <v>216000</v>
      </c>
      <c r="I172" s="21">
        <v>215000</v>
      </c>
      <c r="J172" s="20"/>
      <c r="K172" s="20"/>
      <c r="L172" s="20"/>
      <c r="M172" s="20"/>
      <c r="N172" s="20"/>
      <c r="O172" s="20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22" t="s">
        <v>384</v>
      </c>
      <c r="B173" s="22">
        <v>0.1083</v>
      </c>
      <c r="C173" s="22" t="s">
        <v>385</v>
      </c>
      <c r="D173" s="22" t="s">
        <v>93</v>
      </c>
      <c r="E173" s="22"/>
      <c r="F173" s="22"/>
      <c r="G173" s="22"/>
      <c r="H173" s="23">
        <v>480000</v>
      </c>
      <c r="I173" s="23">
        <v>52000</v>
      </c>
      <c r="J173" s="22"/>
      <c r="K173" s="22"/>
      <c r="L173" s="22"/>
      <c r="M173" s="22"/>
      <c r="N173" s="22"/>
      <c r="O173" s="22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20" t="s">
        <v>386</v>
      </c>
      <c r="B174" s="20">
        <v>0.081</v>
      </c>
      <c r="C174" s="20" t="s">
        <v>387</v>
      </c>
      <c r="D174" s="20" t="s">
        <v>93</v>
      </c>
      <c r="E174" s="20"/>
      <c r="F174" s="20"/>
      <c r="G174" s="20"/>
      <c r="H174" s="21">
        <v>210000</v>
      </c>
      <c r="I174" s="21">
        <v>17000</v>
      </c>
      <c r="J174" s="20"/>
      <c r="K174" s="20"/>
      <c r="L174" s="20"/>
      <c r="M174" s="20"/>
      <c r="N174" s="20"/>
      <c r="O174" s="20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22" t="s">
        <v>388</v>
      </c>
      <c r="B175" s="22">
        <v>0.0799</v>
      </c>
      <c r="C175" s="22" t="s">
        <v>389</v>
      </c>
      <c r="D175" s="22" t="s">
        <v>93</v>
      </c>
      <c r="E175" s="22"/>
      <c r="F175" s="22"/>
      <c r="G175" s="22"/>
      <c r="H175" s="23">
        <v>1589000</v>
      </c>
      <c r="I175" s="23">
        <v>127000</v>
      </c>
      <c r="J175" s="22"/>
      <c r="K175" s="22"/>
      <c r="L175" s="22"/>
      <c r="M175" s="22"/>
      <c r="N175" s="22"/>
      <c r="O175" s="22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20" t="s">
        <v>390</v>
      </c>
      <c r="B176" s="20">
        <v>0.2262</v>
      </c>
      <c r="C176" s="20" t="s">
        <v>391</v>
      </c>
      <c r="D176" s="20" t="s">
        <v>93</v>
      </c>
      <c r="E176" s="20"/>
      <c r="F176" s="20"/>
      <c r="G176" s="20"/>
      <c r="H176" s="21">
        <v>84000</v>
      </c>
      <c r="I176" s="21">
        <v>19000</v>
      </c>
      <c r="J176" s="20"/>
      <c r="K176" s="20"/>
      <c r="L176" s="20"/>
      <c r="M176" s="20"/>
      <c r="N176" s="20"/>
      <c r="O176" s="20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22" t="s">
        <v>392</v>
      </c>
      <c r="B177" s="22">
        <v>0.2814</v>
      </c>
      <c r="C177" s="9" t="s">
        <v>393</v>
      </c>
      <c r="D177" s="9" t="s">
        <v>93</v>
      </c>
      <c r="E177" s="9"/>
      <c r="F177" s="9"/>
      <c r="G177" s="9"/>
      <c r="H177" s="23">
        <v>636000</v>
      </c>
      <c r="I177" s="23">
        <v>179000</v>
      </c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24" t="s">
        <v>394</v>
      </c>
      <c r="B178" s="25">
        <v>0.22</v>
      </c>
      <c r="C178" s="24" t="s">
        <v>395</v>
      </c>
      <c r="D178" s="26"/>
      <c r="E178" s="26"/>
      <c r="F178" s="26"/>
      <c r="G178" s="26"/>
      <c r="H178" s="26"/>
      <c r="I178" s="26"/>
    </row>
    <row r="179" spans="1:26">
      <c r="A179" s="24" t="s">
        <v>396</v>
      </c>
      <c r="B179" s="25">
        <v>0.14</v>
      </c>
      <c r="C179" s="24" t="s">
        <v>397</v>
      </c>
      <c r="D179" s="26"/>
      <c r="E179" s="26"/>
      <c r="F179" s="26"/>
      <c r="G179" s="26"/>
      <c r="H179" s="26"/>
      <c r="I179" s="26"/>
    </row>
    <row r="180" spans="1:26">
      <c r="A180" s="24" t="s">
        <v>398</v>
      </c>
      <c r="B180" s="25">
        <v>0.15</v>
      </c>
      <c r="C180" s="24" t="s">
        <v>399</v>
      </c>
      <c r="D180" s="26"/>
      <c r="E180" s="26"/>
      <c r="F180" s="26"/>
      <c r="G180" s="26"/>
      <c r="H180" s="26"/>
      <c r="I180" s="26"/>
    </row>
    <row r="181" spans="1:26">
      <c r="A181" s="24" t="s">
        <v>400</v>
      </c>
      <c r="B181" s="25">
        <v>0.16</v>
      </c>
      <c r="C181" s="24" t="s">
        <v>401</v>
      </c>
      <c r="D181" s="26"/>
      <c r="E181" s="26"/>
      <c r="F181" s="26"/>
      <c r="G181" s="26"/>
      <c r="H181" s="26"/>
      <c r="I181" s="26"/>
    </row>
    <row r="182" spans="1:26">
      <c r="A182" s="24" t="s">
        <v>402</v>
      </c>
      <c r="B182" s="25">
        <v>0.13</v>
      </c>
      <c r="C182" s="24" t="s">
        <v>403</v>
      </c>
      <c r="D182" s="26"/>
      <c r="E182" s="26"/>
      <c r="F182" s="26"/>
      <c r="G182" s="26"/>
      <c r="H182" s="26"/>
      <c r="I182" s="26"/>
    </row>
    <row r="183" spans="1:26">
      <c r="A183" s="24" t="s">
        <v>404</v>
      </c>
      <c r="B183" s="25">
        <v>0.13</v>
      </c>
      <c r="C183" s="24" t="s">
        <v>405</v>
      </c>
      <c r="D183" s="26"/>
      <c r="E183" s="26"/>
      <c r="F183" s="26"/>
      <c r="G183" s="26"/>
      <c r="H183" s="26"/>
      <c r="I183" s="26"/>
    </row>
    <row r="184" spans="1:26">
      <c r="A184" s="24" t="s">
        <v>406</v>
      </c>
      <c r="B184" s="25">
        <v>0.11</v>
      </c>
      <c r="C184" s="24" t="s">
        <v>407</v>
      </c>
      <c r="D184" s="26"/>
      <c r="E184" s="26"/>
      <c r="F184" s="26"/>
      <c r="G184" s="26"/>
      <c r="H184" s="26"/>
      <c r="I184" s="26"/>
    </row>
    <row r="185" spans="1:26">
      <c r="A185" s="24" t="s">
        <v>408</v>
      </c>
      <c r="B185" s="25">
        <v>0.11</v>
      </c>
      <c r="C185" s="24" t="s">
        <v>409</v>
      </c>
      <c r="D185" s="26"/>
      <c r="E185" s="26"/>
      <c r="F185" s="26"/>
      <c r="G185" s="26"/>
      <c r="H185" s="26"/>
      <c r="I185" s="26"/>
    </row>
    <row r="186" spans="1:26">
      <c r="A186" s="24" t="s">
        <v>410</v>
      </c>
      <c r="B186" s="25">
        <v>0.19</v>
      </c>
      <c r="C186" s="24" t="s">
        <v>411</v>
      </c>
      <c r="D186" s="26"/>
      <c r="E186" s="26"/>
      <c r="F186" s="26"/>
      <c r="G186" s="26"/>
      <c r="H186" s="26"/>
      <c r="I186" s="26"/>
    </row>
    <row r="187" spans="1:26">
      <c r="A187" s="24" t="s">
        <v>412</v>
      </c>
      <c r="B187" s="25">
        <v>0.1</v>
      </c>
      <c r="C187" s="24" t="s">
        <v>413</v>
      </c>
      <c r="D187" s="26"/>
      <c r="E187" s="26"/>
      <c r="F187" s="26"/>
      <c r="G187" s="26"/>
      <c r="H187" s="26"/>
      <c r="I187" s="26"/>
    </row>
    <row r="188" spans="1:26">
      <c r="A188" s="24" t="s">
        <v>414</v>
      </c>
      <c r="B188" s="25">
        <v>0.1075</v>
      </c>
      <c r="C188" s="24" t="s">
        <v>415</v>
      </c>
      <c r="D188" s="26"/>
      <c r="E188" s="26"/>
      <c r="F188" s="26"/>
      <c r="G188" s="26"/>
      <c r="H188" s="26"/>
      <c r="I188" s="26"/>
    </row>
    <row r="189" spans="1:26">
      <c r="A189" s="24" t="s">
        <v>416</v>
      </c>
      <c r="B189" s="25">
        <v>0.3103</v>
      </c>
      <c r="C189" s="24" t="s">
        <v>417</v>
      </c>
      <c r="D189" s="26"/>
      <c r="E189" s="26"/>
      <c r="F189" s="26"/>
      <c r="G189" s="26"/>
      <c r="H189" s="26"/>
      <c r="I189" s="26"/>
    </row>
    <row r="190" spans="1:26">
      <c r="A190" s="24" t="s">
        <v>418</v>
      </c>
      <c r="B190" s="25">
        <v>0.1041</v>
      </c>
      <c r="C190" s="24" t="s">
        <v>419</v>
      </c>
      <c r="D190" s="26"/>
      <c r="E190" s="26"/>
      <c r="F190" s="26"/>
      <c r="G190" s="26"/>
      <c r="H190" s="26"/>
      <c r="I190" s="26"/>
    </row>
    <row r="191" spans="1:26">
      <c r="A191" s="24" t="s">
        <v>420</v>
      </c>
      <c r="B191" s="25">
        <v>0.0912</v>
      </c>
      <c r="C191" s="24" t="s">
        <v>421</v>
      </c>
      <c r="D191" s="26"/>
      <c r="E191" s="26"/>
      <c r="F191" s="26"/>
      <c r="G191" s="26"/>
      <c r="H191" s="26"/>
      <c r="I191" s="26"/>
    </row>
    <row r="192" spans="1:26">
      <c r="A192" s="24" t="s">
        <v>422</v>
      </c>
      <c r="B192" s="25">
        <v>0.1388</v>
      </c>
      <c r="C192" s="24" t="s">
        <v>423</v>
      </c>
      <c r="D192" s="26"/>
      <c r="E192" s="26"/>
      <c r="F192" s="26"/>
      <c r="G192" s="26"/>
      <c r="H192" s="26"/>
      <c r="I192" s="26"/>
    </row>
    <row r="193" spans="1:9">
      <c r="A193" s="24" t="s">
        <v>424</v>
      </c>
      <c r="B193" s="25">
        <v>0.0812</v>
      </c>
      <c r="C193" s="24" t="s">
        <v>425</v>
      </c>
      <c r="D193" s="26"/>
      <c r="E193" s="26"/>
      <c r="F193" s="26"/>
      <c r="G193" s="26"/>
      <c r="H193" s="26"/>
      <c r="I193" s="26"/>
    </row>
    <row r="194" spans="1:9">
      <c r="A194" s="24" t="s">
        <v>426</v>
      </c>
      <c r="B194" s="25">
        <v>0.0775</v>
      </c>
      <c r="C194" s="24" t="s">
        <v>427</v>
      </c>
      <c r="D194" s="26"/>
      <c r="E194" s="26"/>
      <c r="F194" s="26"/>
      <c r="G194" s="26"/>
      <c r="H194" s="26"/>
      <c r="I194" s="26"/>
    </row>
    <row r="195" spans="1:9">
      <c r="A195" s="24" t="s">
        <v>428</v>
      </c>
      <c r="B195" s="25">
        <v>0.1199</v>
      </c>
      <c r="C195" s="24" t="s">
        <v>429</v>
      </c>
      <c r="D195" s="26"/>
      <c r="E195" s="26"/>
      <c r="F195" s="26"/>
      <c r="G195" s="26"/>
      <c r="H195" s="26"/>
      <c r="I195" s="26"/>
    </row>
    <row r="196" spans="1:9">
      <c r="A196" s="24" t="s">
        <v>430</v>
      </c>
      <c r="B196" s="25">
        <v>0.0876</v>
      </c>
      <c r="C196" s="24" t="s">
        <v>431</v>
      </c>
      <c r="D196" s="26"/>
      <c r="E196" s="26"/>
      <c r="F196" s="26"/>
      <c r="G196" s="26"/>
      <c r="H196" s="26"/>
      <c r="I196" s="26"/>
    </row>
    <row r="197" spans="1:9">
      <c r="A197" s="24" t="s">
        <v>432</v>
      </c>
      <c r="B197" s="25">
        <v>0.0826</v>
      </c>
      <c r="C197" s="24" t="s">
        <v>433</v>
      </c>
      <c r="D197" s="26"/>
      <c r="E197" s="26"/>
      <c r="F197" s="26"/>
      <c r="G197" s="26"/>
      <c r="H197" s="26"/>
      <c r="I197" s="26"/>
    </row>
    <row r="198" spans="1:9">
      <c r="A198" s="24" t="s">
        <v>434</v>
      </c>
      <c r="B198" s="25">
        <v>0.0913</v>
      </c>
      <c r="C198" s="24" t="s">
        <v>435</v>
      </c>
      <c r="D198" s="26"/>
      <c r="E198" s="26"/>
      <c r="F198" s="26"/>
      <c r="G198" s="26"/>
      <c r="H198" s="26"/>
      <c r="I198" s="26"/>
    </row>
    <row r="199" spans="1:9">
      <c r="A199" s="24" t="s">
        <v>436</v>
      </c>
      <c r="B199" s="25">
        <v>0.1432</v>
      </c>
      <c r="C199" s="24" t="s">
        <v>437</v>
      </c>
      <c r="D199" s="26"/>
      <c r="E199" s="26"/>
      <c r="F199" s="26"/>
      <c r="G199" s="26"/>
      <c r="H199" s="26"/>
      <c r="I199" s="26"/>
    </row>
    <row r="200" spans="1:9">
      <c r="A200" s="24" t="s">
        <v>438</v>
      </c>
      <c r="B200" s="25">
        <v>0.1113</v>
      </c>
      <c r="C200" s="24" t="s">
        <v>439</v>
      </c>
      <c r="D200" s="26"/>
      <c r="E200" s="26"/>
      <c r="F200" s="26"/>
      <c r="G200" s="26"/>
      <c r="H200" s="26"/>
      <c r="I200" s="26"/>
    </row>
    <row r="201" spans="1:9">
      <c r="A201" s="24" t="s">
        <v>440</v>
      </c>
      <c r="B201" s="25">
        <v>0.0887</v>
      </c>
      <c r="C201" s="24" t="s">
        <v>441</v>
      </c>
      <c r="D201" s="26"/>
      <c r="E201" s="26"/>
      <c r="F201" s="26"/>
      <c r="G201" s="26"/>
      <c r="H201" s="26"/>
      <c r="I201" s="26"/>
    </row>
    <row r="202" spans="1:9">
      <c r="A202" s="24" t="s">
        <v>442</v>
      </c>
      <c r="B202" s="25">
        <v>0.1726</v>
      </c>
      <c r="C202" s="24" t="s">
        <v>443</v>
      </c>
      <c r="D202" s="26"/>
      <c r="E202" s="26"/>
      <c r="F202" s="26"/>
      <c r="G202" s="26"/>
      <c r="H202" s="26"/>
      <c r="I202" s="26"/>
    </row>
    <row r="203" spans="1:9">
      <c r="A203" s="24" t="s">
        <v>444</v>
      </c>
      <c r="B203" s="25">
        <v>0.0745</v>
      </c>
      <c r="C203" s="24" t="s">
        <v>445</v>
      </c>
      <c r="D203" s="26"/>
      <c r="E203" s="26"/>
      <c r="F203" s="26"/>
      <c r="G203" s="26"/>
      <c r="H203" s="26"/>
      <c r="I203" s="26"/>
    </row>
    <row r="204" spans="1:9">
      <c r="A204" s="24" t="s">
        <v>446</v>
      </c>
      <c r="B204" s="25">
        <v>0.0877</v>
      </c>
      <c r="C204" s="24" t="s">
        <v>447</v>
      </c>
      <c r="D204" s="26"/>
      <c r="E204" s="26"/>
      <c r="F204" s="26"/>
      <c r="G204" s="26"/>
      <c r="H204" s="26"/>
      <c r="I204" s="26"/>
    </row>
    <row r="205" spans="1:9">
      <c r="A205" s="24" t="s">
        <v>448</v>
      </c>
      <c r="B205" s="25">
        <v>0.0723</v>
      </c>
      <c r="C205" s="24" t="s">
        <v>449</v>
      </c>
      <c r="D205" s="26"/>
      <c r="E205" s="26"/>
      <c r="F205" s="26"/>
      <c r="G205" s="26"/>
      <c r="H205" s="26"/>
      <c r="I205" s="26"/>
    </row>
    <row r="206" spans="1:9">
      <c r="A206" s="24" t="s">
        <v>450</v>
      </c>
      <c r="B206" s="25">
        <v>0.1272</v>
      </c>
      <c r="C206" s="24" t="s">
        <v>451</v>
      </c>
      <c r="D206" s="26"/>
      <c r="E206" s="26"/>
      <c r="F206" s="26"/>
      <c r="G206" s="26"/>
      <c r="H206" s="26"/>
      <c r="I206" s="26"/>
    </row>
    <row r="207" spans="1:9">
      <c r="A207" s="24" t="s">
        <v>452</v>
      </c>
      <c r="B207" s="25">
        <v>0.074</v>
      </c>
      <c r="C207" s="24" t="s">
        <v>453</v>
      </c>
      <c r="D207" s="26"/>
      <c r="E207" s="26"/>
      <c r="F207" s="26"/>
      <c r="G207" s="26"/>
      <c r="H207" s="26"/>
      <c r="I207" s="26"/>
    </row>
    <row r="208" spans="1:9">
      <c r="A208" s="24" t="s">
        <v>454</v>
      </c>
      <c r="B208" s="25">
        <v>0.1427</v>
      </c>
      <c r="C208" s="24" t="s">
        <v>455</v>
      </c>
      <c r="D208" s="26"/>
      <c r="E208" s="26"/>
      <c r="F208" s="26"/>
      <c r="G208" s="26"/>
      <c r="H208" s="26"/>
      <c r="I208" s="26"/>
    </row>
    <row r="209" spans="1:9">
      <c r="A209" s="24" t="s">
        <v>456</v>
      </c>
      <c r="B209" s="25">
        <v>0.0751</v>
      </c>
      <c r="C209" s="24" t="s">
        <v>457</v>
      </c>
      <c r="D209" s="26"/>
      <c r="E209" s="26"/>
      <c r="F209" s="26"/>
      <c r="G209" s="26"/>
      <c r="H209" s="26"/>
      <c r="I209" s="26"/>
    </row>
    <row r="210" spans="1:9">
      <c r="A210" s="24" t="s">
        <v>458</v>
      </c>
      <c r="B210" s="25">
        <v>0.0801</v>
      </c>
      <c r="C210" s="24" t="s">
        <v>459</v>
      </c>
      <c r="D210" s="26"/>
      <c r="E210" s="26"/>
      <c r="F210" s="26"/>
      <c r="G210" s="26"/>
      <c r="H210" s="26"/>
      <c r="I210" s="26"/>
    </row>
    <row r="211" spans="1:9">
      <c r="A211" s="24" t="s">
        <v>460</v>
      </c>
      <c r="B211" s="25">
        <v>0.0787</v>
      </c>
      <c r="C211" s="24" t="s">
        <v>445</v>
      </c>
      <c r="D211" s="26"/>
      <c r="E211" s="26"/>
      <c r="F211" s="26"/>
      <c r="G211" s="26"/>
      <c r="H211" s="26"/>
      <c r="I211" s="26"/>
    </row>
    <row r="212" spans="1:9">
      <c r="A212" s="24" t="s">
        <v>461</v>
      </c>
      <c r="B212" s="25">
        <v>0.0703</v>
      </c>
      <c r="C212" s="24" t="s">
        <v>462</v>
      </c>
      <c r="D212" s="26"/>
      <c r="E212" s="26"/>
      <c r="F212" s="26"/>
      <c r="G212" s="26"/>
      <c r="H212" s="26"/>
      <c r="I212" s="26"/>
    </row>
    <row r="213" spans="1:9">
      <c r="A213" s="24" t="s">
        <v>463</v>
      </c>
      <c r="B213" s="25">
        <v>0.0828</v>
      </c>
      <c r="C213" s="24" t="s">
        <v>464</v>
      </c>
      <c r="D213" s="26"/>
      <c r="E213" s="26"/>
      <c r="F213" s="26"/>
      <c r="G213" s="26"/>
      <c r="H213" s="26"/>
      <c r="I213" s="26"/>
    </row>
    <row r="214" spans="1:9">
      <c r="A214" s="24" t="s">
        <v>465</v>
      </c>
      <c r="B214" s="25">
        <v>0.15</v>
      </c>
      <c r="C214" s="24" t="s">
        <v>466</v>
      </c>
      <c r="D214" s="26"/>
      <c r="E214" s="26"/>
      <c r="F214" s="26"/>
      <c r="G214" s="26"/>
      <c r="H214" s="26"/>
      <c r="I214" s="26"/>
    </row>
    <row r="215" spans="1:9">
      <c r="A215" s="24" t="s">
        <v>467</v>
      </c>
      <c r="B215" s="25">
        <v>0.12</v>
      </c>
      <c r="C215" s="24" t="s">
        <v>468</v>
      </c>
      <c r="D215" s="26"/>
      <c r="E215" s="26"/>
      <c r="F215" s="26"/>
      <c r="G215" s="26"/>
      <c r="H215" s="26"/>
      <c r="I215" s="26"/>
    </row>
    <row r="216" spans="1:9">
      <c r="A216" s="24" t="s">
        <v>469</v>
      </c>
      <c r="B216" s="25">
        <v>0.19</v>
      </c>
      <c r="C216" s="24" t="s">
        <v>470</v>
      </c>
      <c r="D216" s="26"/>
      <c r="E216" s="26"/>
      <c r="F216" s="26"/>
      <c r="G216" s="26"/>
      <c r="H216" s="26"/>
      <c r="I216" s="26"/>
    </row>
    <row r="217" spans="1:9">
      <c r="A217" s="24" t="s">
        <v>471</v>
      </c>
      <c r="B217" s="25">
        <v>0.17</v>
      </c>
      <c r="C217" s="24" t="s">
        <v>472</v>
      </c>
      <c r="D217" s="26"/>
      <c r="E217" s="26"/>
      <c r="F217" s="26"/>
      <c r="G217" s="26"/>
      <c r="H217" s="26"/>
      <c r="I217" s="26"/>
    </row>
    <row r="218" spans="1:9">
      <c r="A218" s="24" t="s">
        <v>473</v>
      </c>
      <c r="B218" s="25">
        <v>0.1</v>
      </c>
      <c r="C218" s="24" t="s">
        <v>474</v>
      </c>
      <c r="D218" s="26"/>
      <c r="E218" s="26"/>
      <c r="F218" s="26"/>
      <c r="G218" s="26"/>
      <c r="H218" s="26"/>
      <c r="I218" s="26"/>
    </row>
    <row r="219" spans="1:9">
      <c r="A219" s="24" t="s">
        <v>475</v>
      </c>
      <c r="B219" s="25">
        <v>0.22</v>
      </c>
      <c r="C219" s="24" t="s">
        <v>476</v>
      </c>
      <c r="D219" s="26"/>
      <c r="E219" s="26"/>
      <c r="F219" s="26"/>
      <c r="G219" s="26"/>
      <c r="H219" s="26"/>
      <c r="I219" s="26"/>
    </row>
    <row r="220" spans="1:9">
      <c r="A220" s="24" t="s">
        <v>477</v>
      </c>
      <c r="B220" s="25">
        <v>0.16</v>
      </c>
      <c r="C220" s="24" t="s">
        <v>478</v>
      </c>
      <c r="D220" s="26"/>
      <c r="E220" s="26"/>
      <c r="F220" s="26"/>
      <c r="G220" s="26"/>
      <c r="H220" s="26"/>
      <c r="I220" s="26"/>
    </row>
    <row r="221" spans="1:9">
      <c r="A221" s="24" t="s">
        <v>479</v>
      </c>
      <c r="B221" s="25">
        <v>0.19</v>
      </c>
      <c r="C221" s="24" t="s">
        <v>480</v>
      </c>
      <c r="D221" s="26"/>
      <c r="E221" s="26"/>
      <c r="F221" s="26"/>
      <c r="G221" s="26"/>
      <c r="H221" s="26"/>
      <c r="I221" s="26"/>
    </row>
    <row r="222" spans="1:9">
      <c r="A222" s="24" t="s">
        <v>481</v>
      </c>
      <c r="B222" s="25">
        <v>0.113</v>
      </c>
      <c r="C222" s="24" t="s">
        <v>482</v>
      </c>
      <c r="D222" s="26"/>
      <c r="E222" s="26"/>
      <c r="F222" s="26"/>
      <c r="G222" s="26"/>
      <c r="H222" s="26"/>
      <c r="I222" s="26"/>
    </row>
    <row r="223" spans="1:9">
      <c r="A223" s="24" t="s">
        <v>483</v>
      </c>
      <c r="B223" s="25">
        <v>0.15</v>
      </c>
      <c r="C223" s="24" t="s">
        <v>484</v>
      </c>
      <c r="D223" s="26"/>
      <c r="E223" s="26"/>
      <c r="F223" s="26"/>
      <c r="G223" s="26"/>
      <c r="H223" s="26"/>
      <c r="I223" s="26"/>
    </row>
    <row r="224" spans="1:9">
      <c r="A224" s="24" t="s">
        <v>485</v>
      </c>
      <c r="B224" s="25">
        <v>0.29</v>
      </c>
      <c r="C224" s="24" t="s">
        <v>486</v>
      </c>
      <c r="D224" s="26"/>
      <c r="E224" s="26"/>
      <c r="F224" s="26"/>
      <c r="G224" s="26"/>
      <c r="H224" s="26"/>
      <c r="I224" s="26"/>
    </row>
    <row r="225" spans="1:9">
      <c r="A225" s="24" t="s">
        <v>487</v>
      </c>
      <c r="B225" s="25">
        <v>0.098</v>
      </c>
      <c r="C225" s="24" t="s">
        <v>488</v>
      </c>
      <c r="D225" s="26"/>
      <c r="E225" s="26"/>
      <c r="F225" s="26"/>
      <c r="G225" s="26"/>
      <c r="H225" s="26"/>
      <c r="I225" s="26"/>
    </row>
    <row r="226" spans="1:9">
      <c r="A226" s="24" t="s">
        <v>489</v>
      </c>
      <c r="B226" s="25">
        <v>0.118</v>
      </c>
      <c r="C226" s="24" t="s">
        <v>490</v>
      </c>
      <c r="D226" s="26"/>
      <c r="E226" s="26"/>
      <c r="F226" s="26"/>
      <c r="G226" s="26"/>
      <c r="H226" s="26"/>
      <c r="I226" s="26"/>
    </row>
    <row r="227" spans="1:9">
      <c r="A227" s="24" t="s">
        <v>491</v>
      </c>
      <c r="B227" s="25">
        <v>0.187</v>
      </c>
      <c r="C227" s="24" t="s">
        <v>492</v>
      </c>
      <c r="D227" s="26"/>
      <c r="E227" s="26"/>
      <c r="F227" s="26"/>
      <c r="G227" s="26"/>
      <c r="H227" s="26"/>
      <c r="I227" s="26"/>
    </row>
    <row r="228" spans="1:9">
      <c r="A228" s="24" t="s">
        <v>493</v>
      </c>
      <c r="B228" s="25">
        <v>0.174</v>
      </c>
      <c r="C228" s="24" t="s">
        <v>494</v>
      </c>
      <c r="D228" s="26"/>
      <c r="E228" s="26"/>
      <c r="F228" s="26"/>
      <c r="G228" s="26"/>
      <c r="H228" s="26"/>
      <c r="I228" s="26"/>
    </row>
    <row r="229" spans="1:9">
      <c r="A229" s="24" t="s">
        <v>495</v>
      </c>
      <c r="B229" s="25">
        <v>0.258</v>
      </c>
      <c r="C229" s="24" t="s">
        <v>496</v>
      </c>
      <c r="D229" s="26"/>
      <c r="E229" s="26"/>
      <c r="F229" s="26"/>
      <c r="G229" s="26"/>
      <c r="H229" s="26"/>
      <c r="I229" s="26"/>
    </row>
    <row r="230" spans="1:9">
      <c r="A230" s="24" t="s">
        <v>497</v>
      </c>
      <c r="B230" s="25">
        <v>0.114</v>
      </c>
      <c r="C230" s="24" t="s">
        <v>498</v>
      </c>
      <c r="D230" s="26"/>
      <c r="E230" s="26"/>
      <c r="F230" s="26"/>
      <c r="G230" s="26"/>
      <c r="H230" s="26"/>
      <c r="I230" s="26"/>
    </row>
    <row r="231" spans="1:9">
      <c r="A231" s="24" t="s">
        <v>499</v>
      </c>
      <c r="B231" s="25">
        <v>0.188</v>
      </c>
      <c r="C231" s="24" t="s">
        <v>500</v>
      </c>
      <c r="D231" s="26"/>
      <c r="E231" s="26"/>
      <c r="F231" s="26"/>
      <c r="G231" s="26"/>
      <c r="H231" s="26"/>
      <c r="I231" s="26"/>
    </row>
    <row r="232" spans="1:9">
      <c r="A232" s="24" t="s">
        <v>501</v>
      </c>
      <c r="B232" s="25">
        <v>0.192</v>
      </c>
      <c r="C232" s="24" t="s">
        <v>502</v>
      </c>
      <c r="D232" s="26"/>
      <c r="E232" s="26"/>
      <c r="F232" s="26"/>
      <c r="G232" s="26"/>
      <c r="H232" s="26"/>
      <c r="I232" s="26"/>
    </row>
    <row r="233" spans="1:9">
      <c r="A233" s="24" t="s">
        <v>503</v>
      </c>
      <c r="B233" s="25">
        <v>0.108</v>
      </c>
      <c r="C233" s="24" t="s">
        <v>504</v>
      </c>
      <c r="D233" s="26"/>
      <c r="E233" s="26"/>
      <c r="F233" s="26"/>
      <c r="G233" s="26"/>
      <c r="H233" s="26"/>
      <c r="I233" s="26"/>
    </row>
    <row r="234" spans="1:9">
      <c r="A234" s="24" t="s">
        <v>505</v>
      </c>
      <c r="B234" s="25">
        <v>0.072</v>
      </c>
      <c r="C234" s="24" t="s">
        <v>506</v>
      </c>
      <c r="D234" s="26"/>
      <c r="E234" s="26"/>
      <c r="F234" s="26"/>
      <c r="G234" s="26"/>
      <c r="H234" s="26"/>
      <c r="I234" s="26"/>
    </row>
    <row r="235" spans="1:9">
      <c r="A235" s="24" t="s">
        <v>507</v>
      </c>
      <c r="B235" s="25">
        <v>0.098</v>
      </c>
      <c r="C235" s="24" t="s">
        <v>488</v>
      </c>
      <c r="D235" s="26"/>
      <c r="E235" s="26"/>
      <c r="F235" s="26"/>
      <c r="G235" s="26"/>
      <c r="H235" s="26"/>
      <c r="I235" s="26"/>
    </row>
    <row r="236" spans="1:9">
      <c r="A236" s="24" t="s">
        <v>508</v>
      </c>
      <c r="B236" s="25">
        <v>0.045</v>
      </c>
      <c r="C236" s="24" t="s">
        <v>509</v>
      </c>
      <c r="D236" s="26"/>
      <c r="E236" s="26"/>
      <c r="F236" s="26"/>
      <c r="G236" s="26"/>
      <c r="H236" s="26"/>
      <c r="I236" s="26"/>
    </row>
    <row r="237" spans="1:9">
      <c r="A237" s="24" t="s">
        <v>510</v>
      </c>
      <c r="B237" s="25">
        <v>0.053</v>
      </c>
      <c r="C237" s="24" t="s">
        <v>511</v>
      </c>
      <c r="D237" s="26"/>
      <c r="E237" s="26"/>
      <c r="F237" s="26"/>
      <c r="G237" s="26"/>
      <c r="H237" s="26"/>
      <c r="I237" s="26"/>
    </row>
    <row r="238" spans="1:9">
      <c r="A238" s="24" t="s">
        <v>512</v>
      </c>
      <c r="B238" s="25">
        <v>0.066</v>
      </c>
      <c r="C238" s="24" t="s">
        <v>513</v>
      </c>
      <c r="D238" s="26"/>
      <c r="E238" s="26"/>
      <c r="F238" s="26"/>
      <c r="G238" s="26"/>
      <c r="H238" s="26"/>
      <c r="I238" s="26"/>
    </row>
    <row r="239" spans="1:9">
      <c r="A239" s="24" t="s">
        <v>514</v>
      </c>
      <c r="B239" s="25">
        <v>0.103</v>
      </c>
      <c r="C239" s="24" t="s">
        <v>515</v>
      </c>
      <c r="D239" s="26"/>
      <c r="E239" s="26"/>
      <c r="F239" s="26"/>
      <c r="G239" s="26"/>
      <c r="H239" s="26"/>
      <c r="I239" s="26"/>
    </row>
    <row r="240" spans="1:9">
      <c r="A240" s="24" t="s">
        <v>516</v>
      </c>
      <c r="B240" s="25">
        <v>0.075</v>
      </c>
      <c r="C240" s="24" t="s">
        <v>517</v>
      </c>
      <c r="D240" s="26"/>
      <c r="E240" s="26"/>
      <c r="F240" s="26"/>
      <c r="G240" s="26"/>
      <c r="H240" s="26"/>
      <c r="I240" s="26"/>
    </row>
    <row r="241" spans="1:9">
      <c r="A241" s="24" t="s">
        <v>518</v>
      </c>
      <c r="B241" s="25">
        <v>0.048</v>
      </c>
      <c r="C241" s="24" t="s">
        <v>519</v>
      </c>
      <c r="D241" s="26"/>
      <c r="E241" s="26"/>
      <c r="F241" s="26"/>
      <c r="G241" s="26"/>
      <c r="H241" s="26"/>
      <c r="I241" s="26"/>
    </row>
    <row r="242" spans="1:9">
      <c r="A242" s="24" t="s">
        <v>520</v>
      </c>
      <c r="B242" s="25">
        <v>0.049</v>
      </c>
      <c r="C242" s="24" t="s">
        <v>521</v>
      </c>
      <c r="D242" s="26"/>
      <c r="E242" s="26"/>
      <c r="F242" s="26"/>
      <c r="G242" s="26"/>
      <c r="H242" s="26"/>
      <c r="I242" s="26"/>
    </row>
    <row r="243" spans="1:9">
      <c r="A243" s="24" t="s">
        <v>522</v>
      </c>
      <c r="B243" s="25">
        <v>0.036</v>
      </c>
      <c r="C243" s="24" t="s">
        <v>523</v>
      </c>
      <c r="D243" s="26"/>
      <c r="E243" s="26"/>
      <c r="F243" s="26"/>
      <c r="G243" s="26"/>
      <c r="H243" s="26"/>
      <c r="I243" s="26"/>
    </row>
    <row r="244" spans="1:9">
      <c r="A244" s="24" t="s">
        <v>524</v>
      </c>
      <c r="B244" s="25">
        <v>0.031</v>
      </c>
      <c r="C244" s="24" t="s">
        <v>525</v>
      </c>
      <c r="D244" s="26"/>
      <c r="E244" s="26"/>
      <c r="F244" s="26"/>
      <c r="G244" s="26"/>
      <c r="H244" s="26"/>
      <c r="I244" s="26"/>
    </row>
    <row r="245" spans="1:9">
      <c r="A245" s="24" t="s">
        <v>526</v>
      </c>
      <c r="B245" s="25">
        <v>0.096</v>
      </c>
      <c r="C245" s="24" t="s">
        <v>527</v>
      </c>
      <c r="D245" s="26"/>
      <c r="E245" s="26"/>
      <c r="F245" s="26"/>
      <c r="G245" s="26"/>
      <c r="H245" s="26"/>
      <c r="I245" s="26"/>
    </row>
    <row r="246" spans="1:9">
      <c r="A246" s="24" t="s">
        <v>528</v>
      </c>
      <c r="B246" s="25">
        <v>0.151</v>
      </c>
      <c r="C246" s="24" t="s">
        <v>529</v>
      </c>
      <c r="D246" s="26"/>
      <c r="E246" s="26"/>
      <c r="F246" s="26"/>
      <c r="G246" s="26"/>
      <c r="H246" s="26"/>
      <c r="I246" s="26"/>
    </row>
    <row r="247" spans="1:9">
      <c r="A247" s="24" t="s">
        <v>530</v>
      </c>
      <c r="B247" s="25">
        <v>0.074</v>
      </c>
      <c r="C247" s="24" t="s">
        <v>531</v>
      </c>
      <c r="D247" s="26"/>
      <c r="E247" s="26"/>
      <c r="F247" s="26"/>
      <c r="G247" s="26"/>
      <c r="H247" s="26"/>
      <c r="I247" s="26"/>
    </row>
    <row r="248" spans="1:9">
      <c r="A248" s="24" t="s">
        <v>532</v>
      </c>
      <c r="B248" s="25">
        <v>0.07</v>
      </c>
      <c r="C248" s="24" t="s">
        <v>533</v>
      </c>
      <c r="D248" s="26"/>
      <c r="E248" s="26"/>
      <c r="F248" s="26"/>
      <c r="G248" s="26"/>
      <c r="H248" s="26"/>
      <c r="I248" s="26"/>
    </row>
    <row r="249" spans="1:9">
      <c r="A249" s="24" t="s">
        <v>534</v>
      </c>
      <c r="B249" s="25">
        <v>0.07</v>
      </c>
      <c r="C249" s="24" t="s">
        <v>535</v>
      </c>
      <c r="D249" s="26"/>
      <c r="E249" s="26"/>
      <c r="F249" s="26"/>
      <c r="G249" s="26"/>
      <c r="H249" s="26"/>
      <c r="I249" s="26"/>
    </row>
    <row r="250" spans="1:9">
      <c r="A250" s="24" t="s">
        <v>536</v>
      </c>
      <c r="B250" s="25">
        <v>0.07</v>
      </c>
      <c r="C250" s="24" t="s">
        <v>537</v>
      </c>
      <c r="D250" s="26"/>
      <c r="E250" s="26"/>
      <c r="F250" s="26"/>
      <c r="G250" s="26"/>
      <c r="H250" s="26"/>
      <c r="I250" s="26"/>
    </row>
    <row r="251" spans="1:9">
      <c r="A251" s="24" t="s">
        <v>538</v>
      </c>
      <c r="B251" s="25">
        <v>0.05</v>
      </c>
      <c r="C251" s="24" t="s">
        <v>539</v>
      </c>
      <c r="D251" s="26"/>
      <c r="E251" s="26"/>
      <c r="F251" s="26"/>
      <c r="G251" s="26"/>
      <c r="H251" s="26"/>
      <c r="I251" s="26"/>
    </row>
    <row r="252" spans="1:9">
      <c r="A252" s="24" t="s">
        <v>540</v>
      </c>
      <c r="B252" s="25">
        <v>0.1</v>
      </c>
      <c r="C252" s="24" t="s">
        <v>541</v>
      </c>
      <c r="D252" s="26"/>
      <c r="E252" s="26"/>
      <c r="F252" s="26"/>
      <c r="G252" s="26"/>
      <c r="H252" s="26"/>
      <c r="I252" s="26"/>
    </row>
    <row r="253" spans="1:9">
      <c r="A253" s="24" t="s">
        <v>542</v>
      </c>
      <c r="B253" s="25">
        <v>0.08</v>
      </c>
      <c r="C253" s="24" t="s">
        <v>543</v>
      </c>
      <c r="D253" s="26"/>
      <c r="E253" s="26"/>
      <c r="F253" s="26"/>
      <c r="G253" s="26"/>
      <c r="H253" s="26"/>
      <c r="I253" s="26"/>
    </row>
    <row r="254" spans="1:9">
      <c r="A254" s="24" t="s">
        <v>544</v>
      </c>
      <c r="B254" s="25">
        <v>0.05</v>
      </c>
      <c r="C254" s="24" t="s">
        <v>545</v>
      </c>
      <c r="D254" s="26"/>
      <c r="E254" s="26"/>
      <c r="F254" s="26"/>
      <c r="G254" s="26"/>
      <c r="H254" s="26"/>
      <c r="I254" s="26"/>
    </row>
    <row r="255" spans="1:9">
      <c r="A255" s="24" t="s">
        <v>546</v>
      </c>
      <c r="B255" s="25">
        <v>0.06</v>
      </c>
      <c r="C255" s="24" t="s">
        <v>547</v>
      </c>
      <c r="D255" s="26"/>
      <c r="E255" s="26"/>
      <c r="F255" s="26"/>
      <c r="G255" s="26"/>
      <c r="H255" s="26"/>
      <c r="I255" s="26"/>
    </row>
    <row r="256" spans="1:9">
      <c r="A256" s="24" t="s">
        <v>548</v>
      </c>
      <c r="B256" s="25">
        <v>0.06</v>
      </c>
      <c r="C256" s="24" t="s">
        <v>549</v>
      </c>
      <c r="D256" s="26"/>
      <c r="E256" s="26"/>
      <c r="F256" s="26"/>
      <c r="G256" s="26"/>
      <c r="H256" s="26"/>
      <c r="I256" s="26"/>
    </row>
    <row r="257" spans="1:9">
      <c r="A257" s="24" t="s">
        <v>550</v>
      </c>
      <c r="B257" s="25">
        <v>0.06</v>
      </c>
      <c r="C257" s="24" t="s">
        <v>551</v>
      </c>
      <c r="D257" s="26"/>
      <c r="E257" s="26"/>
      <c r="F257" s="26"/>
      <c r="G257" s="26"/>
      <c r="H257" s="26"/>
      <c r="I257" s="26"/>
    </row>
    <row r="258" spans="1:9">
      <c r="A258" s="24" t="s">
        <v>552</v>
      </c>
      <c r="B258" s="25">
        <v>0.04</v>
      </c>
      <c r="C258" s="24" t="s">
        <v>504</v>
      </c>
      <c r="D258" s="26"/>
      <c r="E258" s="26"/>
      <c r="F258" s="26"/>
      <c r="G258" s="26"/>
      <c r="H258" s="26"/>
      <c r="I258" s="26"/>
    </row>
    <row r="259" spans="1:9">
      <c r="A259" s="24" t="s">
        <v>553</v>
      </c>
      <c r="B259" s="25">
        <v>0.14</v>
      </c>
      <c r="C259" s="24" t="s">
        <v>554</v>
      </c>
      <c r="D259" s="26"/>
      <c r="E259" s="26"/>
      <c r="F259" s="26"/>
      <c r="G259" s="26"/>
      <c r="H259" s="26"/>
      <c r="I259" s="26"/>
    </row>
    <row r="260" spans="1:9">
      <c r="A260" s="24" t="s">
        <v>555</v>
      </c>
      <c r="B260" s="25">
        <v>0.14</v>
      </c>
      <c r="C260" s="24" t="s">
        <v>556</v>
      </c>
      <c r="D260" s="26"/>
      <c r="E260" s="26"/>
      <c r="F260" s="26"/>
      <c r="G260" s="26"/>
      <c r="H260" s="26"/>
      <c r="I260" s="26"/>
    </row>
    <row r="261" spans="1:9">
      <c r="A261" s="24" t="s">
        <v>557</v>
      </c>
      <c r="B261" s="25">
        <v>0.09</v>
      </c>
      <c r="C261" s="24" t="s">
        <v>558</v>
      </c>
      <c r="D261" s="26"/>
      <c r="E261" s="26"/>
      <c r="F261" s="26"/>
      <c r="G261" s="26"/>
      <c r="H261" s="26"/>
      <c r="I261" s="26"/>
    </row>
    <row r="262" spans="1:9">
      <c r="A262" s="24" t="s">
        <v>559</v>
      </c>
      <c r="B262" s="25">
        <v>0.14</v>
      </c>
      <c r="C262" s="24" t="s">
        <v>560</v>
      </c>
      <c r="D262" s="26"/>
      <c r="E262" s="26"/>
      <c r="F262" s="26"/>
      <c r="G262" s="26"/>
      <c r="H262" s="26"/>
      <c r="I262" s="26"/>
    </row>
    <row r="263" spans="1:9">
      <c r="A263" s="24" t="s">
        <v>561</v>
      </c>
      <c r="B263" s="25">
        <v>0.09</v>
      </c>
      <c r="C263" s="24" t="s">
        <v>562</v>
      </c>
      <c r="D263" s="26"/>
      <c r="E263" s="26"/>
      <c r="F263" s="26"/>
      <c r="G263" s="26"/>
      <c r="H263" s="26"/>
      <c r="I263" s="26"/>
    </row>
    <row r="264" spans="1:9">
      <c r="A264" s="24" t="s">
        <v>563</v>
      </c>
      <c r="B264" s="25">
        <v>0.14</v>
      </c>
      <c r="C264" s="24" t="s">
        <v>564</v>
      </c>
      <c r="D264" s="26"/>
      <c r="E264" s="26"/>
      <c r="F264" s="26"/>
      <c r="G264" s="26"/>
      <c r="H264" s="26"/>
      <c r="I264" s="26"/>
    </row>
    <row r="265" spans="1:9">
      <c r="A265" s="24" t="s">
        <v>565</v>
      </c>
      <c r="B265" s="25">
        <v>0.13</v>
      </c>
      <c r="C265" s="24" t="s">
        <v>566</v>
      </c>
      <c r="D265" s="26"/>
      <c r="E265" s="26"/>
      <c r="F265" s="26"/>
      <c r="G265" s="26"/>
      <c r="H265" s="26"/>
      <c r="I265" s="26"/>
    </row>
    <row r="266" spans="1:9">
      <c r="A266" s="24" t="s">
        <v>567</v>
      </c>
      <c r="B266" s="25">
        <v>0.11</v>
      </c>
      <c r="C266" s="24" t="s">
        <v>568</v>
      </c>
      <c r="D266" s="26"/>
      <c r="E266" s="26"/>
      <c r="F266" s="26"/>
      <c r="G266" s="26"/>
      <c r="H266" s="26"/>
      <c r="I266" s="26"/>
    </row>
    <row r="267" spans="1:9">
      <c r="A267" s="24" t="s">
        <v>569</v>
      </c>
      <c r="B267" s="25">
        <v>0.08</v>
      </c>
      <c r="C267" s="24" t="s">
        <v>570</v>
      </c>
      <c r="D267" s="26"/>
      <c r="E267" s="26"/>
      <c r="F267" s="26"/>
      <c r="G267" s="26"/>
      <c r="H267" s="26"/>
      <c r="I267" s="26"/>
    </row>
    <row r="268" spans="1:9">
      <c r="A268" s="24" t="s">
        <v>571</v>
      </c>
      <c r="B268" s="25">
        <v>0.1</v>
      </c>
      <c r="C268" s="24" t="s">
        <v>572</v>
      </c>
      <c r="D268" s="26"/>
      <c r="E268" s="26"/>
      <c r="F268" s="26"/>
      <c r="G268" s="26"/>
      <c r="H268" s="26"/>
      <c r="I268" s="26"/>
    </row>
    <row r="269" spans="1:9">
      <c r="A269" s="24" t="s">
        <v>573</v>
      </c>
      <c r="B269" s="25">
        <v>0.26</v>
      </c>
      <c r="C269" s="24" t="s">
        <v>529</v>
      </c>
      <c r="D269" s="26"/>
      <c r="E269" s="26"/>
      <c r="F269" s="26"/>
      <c r="G269" s="26"/>
      <c r="H269" s="26"/>
      <c r="I269" s="26"/>
    </row>
    <row r="270" spans="1:9">
      <c r="A270" s="24" t="s">
        <v>574</v>
      </c>
      <c r="B270" s="25">
        <v>0.1</v>
      </c>
      <c r="C270" s="24" t="s">
        <v>575</v>
      </c>
      <c r="D270" s="26"/>
      <c r="E270" s="26"/>
      <c r="F270" s="26"/>
      <c r="G270" s="26"/>
      <c r="H270" s="26"/>
      <c r="I270" s="26"/>
    </row>
    <row r="271" spans="1:9">
      <c r="A271" s="24" t="s">
        <v>576</v>
      </c>
      <c r="B271" s="25">
        <v>0.11</v>
      </c>
      <c r="C271" s="24" t="s">
        <v>577</v>
      </c>
      <c r="D271" s="26"/>
      <c r="E271" s="26"/>
      <c r="F271" s="26"/>
      <c r="G271" s="26"/>
      <c r="H271" s="26"/>
      <c r="I271" s="26"/>
    </row>
    <row r="272" spans="1:9">
      <c r="A272" s="24" t="s">
        <v>578</v>
      </c>
      <c r="B272" s="25">
        <v>0.14</v>
      </c>
      <c r="C272" s="24" t="s">
        <v>579</v>
      </c>
      <c r="D272" s="26"/>
      <c r="E272" s="26"/>
      <c r="F272" s="26"/>
      <c r="G272" s="26"/>
      <c r="H272" s="26"/>
      <c r="I272" s="26"/>
    </row>
    <row r="273" spans="1:9">
      <c r="A273" s="24" t="s">
        <v>580</v>
      </c>
      <c r="B273" s="25">
        <v>0.11</v>
      </c>
      <c r="C273" s="24" t="s">
        <v>581</v>
      </c>
      <c r="D273" s="26"/>
      <c r="E273" s="26"/>
      <c r="F273" s="26"/>
      <c r="G273" s="26"/>
      <c r="H273" s="26"/>
      <c r="I273" s="26"/>
    </row>
    <row r="274" spans="1:9">
      <c r="A274" s="24" t="s">
        <v>582</v>
      </c>
      <c r="B274" s="25">
        <v>0.13</v>
      </c>
      <c r="C274" s="24" t="s">
        <v>583</v>
      </c>
      <c r="D274" s="26"/>
      <c r="E274" s="26"/>
      <c r="F274" s="26"/>
      <c r="G274" s="26"/>
      <c r="H274" s="26"/>
      <c r="I274" s="26"/>
    </row>
    <row r="275" spans="1:9">
      <c r="A275" s="24" t="s">
        <v>584</v>
      </c>
      <c r="B275" s="25">
        <v>0.15</v>
      </c>
      <c r="C275" s="24" t="s">
        <v>585</v>
      </c>
      <c r="D275" s="26"/>
      <c r="E275" s="26"/>
      <c r="F275" s="26"/>
      <c r="G275" s="26"/>
      <c r="H275" s="26"/>
      <c r="I275" s="26"/>
    </row>
    <row r="276" spans="1:9">
      <c r="A276" s="24" t="s">
        <v>586</v>
      </c>
      <c r="B276" s="25">
        <v>0.11</v>
      </c>
      <c r="C276" s="24" t="s">
        <v>587</v>
      </c>
      <c r="D276" s="26"/>
      <c r="E276" s="26"/>
      <c r="F276" s="26"/>
      <c r="G276" s="26"/>
      <c r="H276" s="26"/>
      <c r="I276" s="26"/>
    </row>
    <row r="277" spans="1:9">
      <c r="A277" s="24" t="s">
        <v>588</v>
      </c>
      <c r="B277" s="25">
        <v>0.08</v>
      </c>
      <c r="C277" s="24" t="s">
        <v>589</v>
      </c>
      <c r="D277" s="26"/>
      <c r="E277" s="26"/>
      <c r="F277" s="26"/>
      <c r="G277" s="26"/>
      <c r="H277" s="26"/>
      <c r="I277" s="26"/>
    </row>
    <row r="278" spans="1:9">
      <c r="A278" s="24" t="s">
        <v>590</v>
      </c>
      <c r="B278" s="25">
        <v>0.14</v>
      </c>
      <c r="C278" s="24" t="s">
        <v>591</v>
      </c>
      <c r="D278" s="26"/>
      <c r="E278" s="26"/>
      <c r="F278" s="26"/>
      <c r="G278" s="26"/>
      <c r="H278" s="26"/>
      <c r="I278" s="26"/>
    </row>
    <row r="279" spans="1:9">
      <c r="A279" s="24" t="s">
        <v>592</v>
      </c>
      <c r="B279" s="25">
        <v>0.1</v>
      </c>
      <c r="C279" s="24" t="s">
        <v>593</v>
      </c>
      <c r="D279" s="26"/>
      <c r="E279" s="26"/>
      <c r="F279" s="26"/>
      <c r="G279" s="26"/>
      <c r="H279" s="26"/>
      <c r="I279" s="26"/>
    </row>
    <row r="280" spans="1:9">
      <c r="A280" s="24" t="s">
        <v>594</v>
      </c>
      <c r="B280" s="25">
        <v>0.15</v>
      </c>
      <c r="C280" s="24" t="s">
        <v>595</v>
      </c>
      <c r="D280" s="26"/>
      <c r="E280" s="26"/>
      <c r="F280" s="26"/>
      <c r="G280" s="26"/>
      <c r="H280" s="26"/>
      <c r="I280" s="26"/>
    </row>
    <row r="281" spans="1:9">
      <c r="A281" s="24" t="s">
        <v>596</v>
      </c>
      <c r="B281" s="25">
        <v>0.14</v>
      </c>
      <c r="C281" s="24" t="s">
        <v>597</v>
      </c>
      <c r="D281" s="26"/>
      <c r="E281" s="26"/>
      <c r="F281" s="26"/>
      <c r="G281" s="26"/>
      <c r="H281" s="26"/>
      <c r="I281" s="26"/>
    </row>
    <row r="282" spans="1:9">
      <c r="A282" s="24" t="s">
        <v>598</v>
      </c>
      <c r="B282" s="25">
        <v>0.14</v>
      </c>
      <c r="C282" s="24" t="s">
        <v>599</v>
      </c>
      <c r="D282" s="26"/>
      <c r="E282" s="26"/>
      <c r="F282" s="26"/>
      <c r="G282" s="26"/>
      <c r="H282" s="26"/>
      <c r="I282" s="26"/>
    </row>
    <row r="283" spans="1:9">
      <c r="A283" s="24" t="s">
        <v>600</v>
      </c>
      <c r="B283" s="25">
        <v>0.21</v>
      </c>
      <c r="C283" s="24" t="s">
        <v>601</v>
      </c>
      <c r="D283" s="26"/>
      <c r="E283" s="26"/>
      <c r="F283" s="26"/>
      <c r="G283" s="26"/>
      <c r="H283" s="26"/>
      <c r="I283" s="26"/>
    </row>
    <row r="284" spans="1:9">
      <c r="A284" s="24" t="s">
        <v>602</v>
      </c>
      <c r="B284" s="25">
        <v>0.13</v>
      </c>
      <c r="C284" s="24" t="s">
        <v>603</v>
      </c>
      <c r="D284" s="26"/>
      <c r="E284" s="26"/>
      <c r="F284" s="26"/>
      <c r="G284" s="26"/>
      <c r="H284" s="26"/>
      <c r="I284" s="26"/>
    </row>
    <row r="285" spans="1:9">
      <c r="A285" s="24" t="s">
        <v>604</v>
      </c>
      <c r="B285" s="25">
        <v>0.28</v>
      </c>
      <c r="C285" s="24" t="s">
        <v>605</v>
      </c>
      <c r="D285" s="26"/>
      <c r="E285" s="26"/>
      <c r="F285" s="26"/>
      <c r="G285" s="26"/>
      <c r="H285" s="26"/>
      <c r="I285" s="26"/>
    </row>
    <row r="286" spans="1:9">
      <c r="A286" s="24" t="s">
        <v>606</v>
      </c>
      <c r="B286" s="25">
        <v>0.13</v>
      </c>
      <c r="C286" s="24" t="s">
        <v>607</v>
      </c>
      <c r="D286" s="26"/>
      <c r="E286" s="26"/>
      <c r="F286" s="26"/>
      <c r="G286" s="26"/>
      <c r="H286" s="26"/>
      <c r="I286" s="26"/>
    </row>
    <row r="287" spans="1:9">
      <c r="A287" s="24" t="s">
        <v>608</v>
      </c>
      <c r="B287" s="25">
        <v>0.15</v>
      </c>
      <c r="C287" s="24" t="s">
        <v>609</v>
      </c>
      <c r="D287" s="26"/>
      <c r="E287" s="26"/>
      <c r="F287" s="26"/>
      <c r="G287" s="26"/>
      <c r="H287" s="26"/>
      <c r="I287" s="26"/>
    </row>
    <row r="288" spans="1:9">
      <c r="A288" s="24" t="s">
        <v>610</v>
      </c>
      <c r="B288" s="25">
        <v>0.12</v>
      </c>
      <c r="C288" s="24" t="s">
        <v>44</v>
      </c>
      <c r="D288" s="26"/>
      <c r="E288" s="26"/>
      <c r="F288" s="26"/>
      <c r="G288" s="26"/>
      <c r="H288" s="26"/>
      <c r="I288" s="26"/>
    </row>
    <row r="289" spans="1:9">
      <c r="A289" s="24" t="s">
        <v>611</v>
      </c>
      <c r="B289" s="25">
        <v>0.18</v>
      </c>
      <c r="C289" s="24" t="s">
        <v>612</v>
      </c>
      <c r="D289" s="26"/>
      <c r="E289" s="26"/>
      <c r="F289" s="26"/>
      <c r="G289" s="26"/>
      <c r="H289" s="26"/>
      <c r="I289" s="26"/>
    </row>
    <row r="290" spans="1:9">
      <c r="A290" s="24" t="s">
        <v>613</v>
      </c>
      <c r="B290" s="25">
        <v>0.1454</v>
      </c>
      <c r="C290" s="24" t="s">
        <v>614</v>
      </c>
      <c r="D290" s="26"/>
      <c r="E290" s="26"/>
      <c r="F290" s="26"/>
      <c r="G290" s="26"/>
      <c r="H290" s="24" t="s">
        <v>615</v>
      </c>
      <c r="I290" s="24" t="s">
        <v>616</v>
      </c>
    </row>
    <row r="291" spans="1:9">
      <c r="A291" s="24" t="s">
        <v>617</v>
      </c>
      <c r="B291" s="25">
        <v>0.1037</v>
      </c>
      <c r="C291" s="24" t="s">
        <v>618</v>
      </c>
      <c r="D291" s="26"/>
      <c r="E291" s="26"/>
      <c r="F291" s="26"/>
      <c r="G291" s="26"/>
      <c r="H291" s="24" t="s">
        <v>619</v>
      </c>
      <c r="I291" s="24" t="s">
        <v>620</v>
      </c>
    </row>
    <row r="292" spans="1:9">
      <c r="A292" s="24" t="s">
        <v>621</v>
      </c>
      <c r="B292" s="25">
        <v>1.0116</v>
      </c>
      <c r="C292" s="24" t="s">
        <v>622</v>
      </c>
      <c r="D292" s="26"/>
      <c r="E292" s="26"/>
      <c r="F292" s="26"/>
      <c r="G292" s="26"/>
      <c r="H292" s="24" t="s">
        <v>623</v>
      </c>
      <c r="I292" s="24" t="s">
        <v>624</v>
      </c>
    </row>
    <row r="293" spans="1:9">
      <c r="A293" s="24" t="s">
        <v>625</v>
      </c>
      <c r="B293" s="25">
        <v>0.0328</v>
      </c>
      <c r="C293" s="24" t="s">
        <v>626</v>
      </c>
      <c r="D293" s="26"/>
      <c r="E293" s="26"/>
      <c r="F293" s="26"/>
      <c r="G293" s="26"/>
      <c r="H293" s="24" t="s">
        <v>627</v>
      </c>
      <c r="I293" s="24" t="s">
        <v>628</v>
      </c>
    </row>
    <row r="294" spans="1:9">
      <c r="A294" s="24" t="s">
        <v>629</v>
      </c>
      <c r="B294" s="25">
        <v>0.1902</v>
      </c>
      <c r="C294" s="24" t="s">
        <v>630</v>
      </c>
      <c r="D294" s="26"/>
      <c r="E294" s="26"/>
      <c r="F294" s="26"/>
      <c r="G294" s="26"/>
      <c r="H294" s="24" t="s">
        <v>631</v>
      </c>
      <c r="I294" s="24" t="s">
        <v>632</v>
      </c>
    </row>
    <row r="295" spans="1:9">
      <c r="A295" s="24" t="s">
        <v>633</v>
      </c>
      <c r="B295" s="25">
        <v>0.1071</v>
      </c>
      <c r="C295" s="24" t="s">
        <v>634</v>
      </c>
      <c r="D295" s="26"/>
      <c r="E295" s="26"/>
      <c r="F295" s="26"/>
      <c r="G295" s="26"/>
      <c r="H295" s="24" t="s">
        <v>635</v>
      </c>
      <c r="I295" s="24" t="s">
        <v>636</v>
      </c>
    </row>
    <row r="296" spans="1:9">
      <c r="A296" s="24" t="s">
        <v>637</v>
      </c>
      <c r="B296" s="25">
        <v>0.1204</v>
      </c>
      <c r="C296" s="24" t="s">
        <v>638</v>
      </c>
      <c r="D296" s="26"/>
      <c r="E296" s="26"/>
      <c r="F296" s="26"/>
      <c r="G296" s="26"/>
      <c r="H296" s="24" t="s">
        <v>639</v>
      </c>
      <c r="I296" s="24" t="s">
        <v>640</v>
      </c>
    </row>
    <row r="297" spans="1:9">
      <c r="A297" s="24" t="s">
        <v>641</v>
      </c>
      <c r="B297" s="25">
        <v>0.0755</v>
      </c>
      <c r="C297" s="24" t="s">
        <v>642</v>
      </c>
      <c r="D297" s="26"/>
      <c r="E297" s="26"/>
      <c r="F297" s="26"/>
      <c r="G297" s="26"/>
      <c r="H297" s="24" t="s">
        <v>643</v>
      </c>
      <c r="I297" s="24" t="s">
        <v>644</v>
      </c>
    </row>
    <row r="298" spans="1:9">
      <c r="A298" s="24" t="s">
        <v>645</v>
      </c>
      <c r="B298" s="25">
        <v>0.2803</v>
      </c>
      <c r="C298" s="24" t="s">
        <v>646</v>
      </c>
      <c r="D298" s="26"/>
      <c r="E298" s="26"/>
      <c r="F298" s="26"/>
      <c r="G298" s="26"/>
      <c r="H298" s="24" t="s">
        <v>647</v>
      </c>
      <c r="I298" s="24" t="s">
        <v>648</v>
      </c>
    </row>
    <row r="299" spans="1:9">
      <c r="A299" s="24" t="s">
        <v>649</v>
      </c>
      <c r="B299" s="25">
        <v>0.1154</v>
      </c>
      <c r="C299" s="24" t="s">
        <v>650</v>
      </c>
      <c r="D299" s="26"/>
      <c r="E299" s="26"/>
      <c r="F299" s="26"/>
      <c r="G299" s="26"/>
      <c r="H299" s="24" t="s">
        <v>651</v>
      </c>
      <c r="I299" s="24" t="s">
        <v>652</v>
      </c>
    </row>
    <row r="300" spans="1:9">
      <c r="A300" s="24" t="s">
        <v>653</v>
      </c>
      <c r="B300" s="25">
        <v>0.0833</v>
      </c>
      <c r="C300" s="24" t="s">
        <v>654</v>
      </c>
      <c r="D300" s="26"/>
      <c r="E300" s="26"/>
      <c r="F300" s="26"/>
      <c r="G300" s="26"/>
      <c r="H300" s="24" t="s">
        <v>655</v>
      </c>
      <c r="I300" s="24" t="s">
        <v>656</v>
      </c>
    </row>
    <row r="301" spans="1:9">
      <c r="A301" s="24" t="s">
        <v>657</v>
      </c>
      <c r="B301" s="25">
        <v>0.1365</v>
      </c>
      <c r="C301" s="24" t="s">
        <v>658</v>
      </c>
      <c r="D301" s="26"/>
      <c r="E301" s="26"/>
      <c r="F301" s="26"/>
      <c r="G301" s="26"/>
      <c r="H301" s="24" t="s">
        <v>659</v>
      </c>
      <c r="I301" s="24" t="s">
        <v>660</v>
      </c>
    </row>
    <row r="302" spans="1:9">
      <c r="A302" s="24" t="s">
        <v>661</v>
      </c>
      <c r="B302" s="25">
        <v>0.0353</v>
      </c>
      <c r="C302" s="24" t="s">
        <v>662</v>
      </c>
      <c r="D302" s="26"/>
      <c r="E302" s="26"/>
      <c r="F302" s="26"/>
      <c r="G302" s="26"/>
      <c r="H302" s="24" t="s">
        <v>663</v>
      </c>
      <c r="I302" s="24" t="s">
        <v>664</v>
      </c>
    </row>
    <row r="303" spans="1:9">
      <c r="A303" s="24" t="s">
        <v>665</v>
      </c>
      <c r="B303" s="25">
        <v>0.2319</v>
      </c>
      <c r="C303" s="24" t="s">
        <v>666</v>
      </c>
      <c r="D303" s="26"/>
      <c r="E303" s="26"/>
      <c r="F303" s="26"/>
      <c r="G303" s="26"/>
      <c r="H303" s="24" t="s">
        <v>667</v>
      </c>
      <c r="I303" s="24" t="s">
        <v>668</v>
      </c>
    </row>
    <row r="304" spans="1:9">
      <c r="A304" s="24" t="s">
        <v>669</v>
      </c>
      <c r="B304" s="25">
        <v>0.1994</v>
      </c>
      <c r="C304" s="24" t="s">
        <v>670</v>
      </c>
      <c r="D304" s="26"/>
      <c r="E304" s="26"/>
      <c r="F304" s="26"/>
      <c r="G304" s="26"/>
      <c r="H304" s="24" t="s">
        <v>671</v>
      </c>
      <c r="I304" s="24" t="s">
        <v>672</v>
      </c>
    </row>
    <row r="305" spans="1:9">
      <c r="A305" s="24" t="s">
        <v>673</v>
      </c>
      <c r="B305" s="25">
        <v>0.2096</v>
      </c>
      <c r="C305" s="24" t="s">
        <v>674</v>
      </c>
      <c r="D305" s="26"/>
      <c r="E305" s="26"/>
      <c r="F305" s="26"/>
      <c r="G305" s="26"/>
      <c r="H305" s="24" t="s">
        <v>675</v>
      </c>
      <c r="I305" s="24" t="s">
        <v>676</v>
      </c>
    </row>
    <row r="306" spans="1:9">
      <c r="A306" s="24" t="s">
        <v>677</v>
      </c>
      <c r="B306" s="25">
        <v>0.0646</v>
      </c>
      <c r="C306" s="24" t="s">
        <v>678</v>
      </c>
      <c r="D306" s="26"/>
      <c r="E306" s="26"/>
      <c r="F306" s="26"/>
      <c r="G306" s="26"/>
      <c r="H306" s="24" t="s">
        <v>679</v>
      </c>
      <c r="I306" s="24" t="s">
        <v>680</v>
      </c>
    </row>
    <row r="307" spans="1:9">
      <c r="A307" s="24" t="s">
        <v>681</v>
      </c>
      <c r="B307" s="25">
        <v>0.6687</v>
      </c>
      <c r="C307" s="24" t="s">
        <v>682</v>
      </c>
      <c r="D307" s="26"/>
      <c r="E307" s="26"/>
      <c r="F307" s="26"/>
      <c r="G307" s="26"/>
      <c r="H307" s="24" t="s">
        <v>683</v>
      </c>
      <c r="I307" s="24" t="s">
        <v>684</v>
      </c>
    </row>
    <row r="308" spans="1:9">
      <c r="A308" s="24" t="s">
        <v>685</v>
      </c>
      <c r="B308" s="25">
        <v>0.3741</v>
      </c>
      <c r="C308" s="24" t="s">
        <v>686</v>
      </c>
      <c r="D308" s="26"/>
      <c r="E308" s="26"/>
      <c r="F308" s="26"/>
      <c r="G308" s="26"/>
      <c r="H308" s="24" t="s">
        <v>687</v>
      </c>
      <c r="I308" s="24" t="s">
        <v>688</v>
      </c>
    </row>
    <row r="309" spans="1:9">
      <c r="A309" s="24" t="s">
        <v>689</v>
      </c>
      <c r="B309" s="25">
        <v>0.0468</v>
      </c>
      <c r="C309" s="24" t="s">
        <v>690</v>
      </c>
      <c r="D309" s="26"/>
      <c r="E309" s="26"/>
      <c r="F309" s="26"/>
      <c r="G309" s="26"/>
      <c r="H309" s="24" t="s">
        <v>691</v>
      </c>
      <c r="I309" s="24" t="s">
        <v>692</v>
      </c>
    </row>
    <row r="310" spans="1:9">
      <c r="A310" s="24" t="s">
        <v>693</v>
      </c>
      <c r="B310" s="25">
        <v>0.0729</v>
      </c>
      <c r="C310" s="24" t="s">
        <v>694</v>
      </c>
      <c r="D310" s="26"/>
      <c r="E310" s="26"/>
      <c r="F310" s="26"/>
      <c r="G310" s="26"/>
      <c r="H310" s="24" t="s">
        <v>695</v>
      </c>
      <c r="I310" s="24" t="s">
        <v>696</v>
      </c>
    </row>
    <row r="311" spans="1:9">
      <c r="A311" s="24" t="s">
        <v>697</v>
      </c>
      <c r="B311" s="25">
        <v>0.0396</v>
      </c>
      <c r="C311" s="24" t="s">
        <v>407</v>
      </c>
      <c r="D311" s="26"/>
      <c r="E311" s="26"/>
      <c r="F311" s="26"/>
      <c r="G311" s="26"/>
      <c r="H311" s="24" t="s">
        <v>698</v>
      </c>
      <c r="I311" s="24" t="s">
        <v>699</v>
      </c>
    </row>
    <row r="312" spans="1:9">
      <c r="A312" s="24" t="s">
        <v>700</v>
      </c>
      <c r="B312" s="25">
        <v>0.0564</v>
      </c>
      <c r="C312" s="24" t="s">
        <v>701</v>
      </c>
      <c r="D312" s="26"/>
      <c r="E312" s="26"/>
      <c r="F312" s="26"/>
      <c r="G312" s="26"/>
      <c r="H312" s="24" t="s">
        <v>702</v>
      </c>
      <c r="I312" s="24" t="s">
        <v>703</v>
      </c>
    </row>
    <row r="313" spans="1:9">
      <c r="A313" s="24" t="s">
        <v>704</v>
      </c>
      <c r="B313" s="25">
        <v>0.0543</v>
      </c>
      <c r="C313" s="24" t="s">
        <v>705</v>
      </c>
      <c r="D313" s="26"/>
      <c r="E313" s="26"/>
      <c r="F313" s="26"/>
      <c r="G313" s="26"/>
      <c r="H313" s="24" t="s">
        <v>706</v>
      </c>
      <c r="I313" s="24" t="s">
        <v>707</v>
      </c>
    </row>
    <row r="314" spans="1:9">
      <c r="A314" s="24" t="s">
        <v>708</v>
      </c>
      <c r="B314" s="25">
        <v>1.009</v>
      </c>
      <c r="C314" s="24" t="s">
        <v>709</v>
      </c>
      <c r="D314" s="26"/>
      <c r="E314" s="26"/>
      <c r="F314" s="26"/>
      <c r="G314" s="26"/>
      <c r="H314" s="24" t="s">
        <v>710</v>
      </c>
      <c r="I314" s="24" t="s">
        <v>711</v>
      </c>
    </row>
    <row r="315" spans="1:9">
      <c r="A315" s="24" t="s">
        <v>712</v>
      </c>
      <c r="B315" s="25">
        <v>0.04</v>
      </c>
      <c r="C315" s="24" t="s">
        <v>713</v>
      </c>
      <c r="D315" s="26"/>
      <c r="E315" s="26"/>
      <c r="F315" s="26"/>
      <c r="G315" s="26"/>
      <c r="H315" s="24" t="s">
        <v>714</v>
      </c>
      <c r="I315" s="24" t="s">
        <v>715</v>
      </c>
    </row>
    <row r="316" spans="1:9">
      <c r="A316" s="24" t="s">
        <v>716</v>
      </c>
      <c r="B316" s="25">
        <v>0.0704</v>
      </c>
      <c r="C316" s="24" t="s">
        <v>717</v>
      </c>
      <c r="D316" s="26"/>
      <c r="E316" s="26"/>
      <c r="F316" s="26"/>
      <c r="G316" s="26"/>
      <c r="H316" s="24" t="s">
        <v>718</v>
      </c>
      <c r="I316" s="24" t="s">
        <v>719</v>
      </c>
    </row>
    <row r="317" spans="1:9">
      <c r="A317" s="24" t="s">
        <v>720</v>
      </c>
      <c r="B317" s="25">
        <v>0.1154</v>
      </c>
      <c r="C317" s="24" t="s">
        <v>650</v>
      </c>
      <c r="D317" s="26"/>
      <c r="E317" s="26"/>
      <c r="F317" s="26"/>
      <c r="G317" s="26"/>
      <c r="H317" s="24" t="s">
        <v>651</v>
      </c>
      <c r="I317" s="24" t="s">
        <v>652</v>
      </c>
    </row>
    <row r="318" spans="1:9">
      <c r="A318" s="24" t="s">
        <v>721</v>
      </c>
      <c r="B318" s="25">
        <v>0.1268</v>
      </c>
      <c r="C318" s="24" t="s">
        <v>722</v>
      </c>
      <c r="D318" s="26"/>
      <c r="E318" s="26"/>
      <c r="F318" s="26"/>
      <c r="G318" s="26"/>
      <c r="H318" s="24" t="s">
        <v>723</v>
      </c>
      <c r="I318" s="24" t="s">
        <v>724</v>
      </c>
    </row>
    <row r="319" spans="1:9">
      <c r="A319" s="24" t="s">
        <v>725</v>
      </c>
      <c r="B319" s="25">
        <v>0.1003</v>
      </c>
      <c r="C319" s="24" t="s">
        <v>47</v>
      </c>
      <c r="D319" s="26"/>
      <c r="E319" s="26"/>
      <c r="F319" s="26"/>
      <c r="G319" s="26"/>
      <c r="H319" s="24" t="s">
        <v>726</v>
      </c>
      <c r="I319" s="24" t="s">
        <v>660</v>
      </c>
    </row>
    <row r="320" spans="1:9">
      <c r="A320" s="24" t="s">
        <v>727</v>
      </c>
      <c r="B320" s="25">
        <v>0.1207</v>
      </c>
      <c r="C320" s="24" t="s">
        <v>728</v>
      </c>
      <c r="D320" s="26"/>
      <c r="E320" s="26"/>
      <c r="F320" s="26"/>
      <c r="G320" s="26"/>
      <c r="H320" s="24" t="s">
        <v>729</v>
      </c>
      <c r="I320" s="24" t="s">
        <v>730</v>
      </c>
    </row>
    <row r="321" spans="1:9">
      <c r="A321" s="24" t="s">
        <v>731</v>
      </c>
      <c r="B321" s="25">
        <v>0.0916</v>
      </c>
      <c r="C321" s="24" t="s">
        <v>732</v>
      </c>
      <c r="D321" s="26"/>
      <c r="E321" s="26"/>
      <c r="F321" s="26"/>
      <c r="G321" s="26"/>
      <c r="H321" s="24" t="s">
        <v>733</v>
      </c>
      <c r="I321" s="24" t="s">
        <v>676</v>
      </c>
    </row>
    <row r="322" spans="1:9">
      <c r="A322" s="24" t="s">
        <v>734</v>
      </c>
      <c r="B322" s="25">
        <v>0.1312</v>
      </c>
      <c r="C322" s="24" t="s">
        <v>735</v>
      </c>
      <c r="D322" s="26"/>
      <c r="E322" s="26"/>
      <c r="F322" s="26"/>
      <c r="G322" s="26"/>
      <c r="H322" s="24" t="s">
        <v>736</v>
      </c>
      <c r="I322" s="24" t="s">
        <v>668</v>
      </c>
    </row>
    <row r="323" spans="1:9">
      <c r="A323" s="24" t="s">
        <v>737</v>
      </c>
      <c r="B323" s="25">
        <v>1.0138</v>
      </c>
      <c r="C323" s="24" t="s">
        <v>738</v>
      </c>
      <c r="D323" s="26"/>
      <c r="E323" s="26"/>
      <c r="F323" s="26"/>
      <c r="G323" s="26"/>
      <c r="H323" s="24" t="s">
        <v>739</v>
      </c>
      <c r="I323" s="24" t="s">
        <v>740</v>
      </c>
    </row>
    <row r="324" spans="1:9">
      <c r="A324" s="24" t="s">
        <v>741</v>
      </c>
      <c r="B324" s="25">
        <v>0.1266</v>
      </c>
      <c r="C324" s="24" t="s">
        <v>735</v>
      </c>
      <c r="D324" s="26"/>
      <c r="E324" s="26"/>
      <c r="F324" s="26"/>
      <c r="G324" s="26"/>
      <c r="H324" s="24" t="s">
        <v>742</v>
      </c>
      <c r="I324" s="24" t="s">
        <v>676</v>
      </c>
    </row>
    <row r="325" spans="1:9">
      <c r="A325" s="24" t="s">
        <v>743</v>
      </c>
      <c r="B325" s="25">
        <v>0.8243</v>
      </c>
      <c r="C325" s="24" t="s">
        <v>744</v>
      </c>
      <c r="D325" s="26"/>
      <c r="E325" s="26"/>
      <c r="F325" s="26"/>
      <c r="G325" s="26"/>
      <c r="H325" s="24" t="s">
        <v>745</v>
      </c>
      <c r="I325" s="24" t="s">
        <v>746</v>
      </c>
    </row>
    <row r="326" spans="1:9">
      <c r="A326" s="24" t="s">
        <v>747</v>
      </c>
      <c r="B326" s="25">
        <v>0.1902</v>
      </c>
      <c r="C326" s="24" t="s">
        <v>630</v>
      </c>
      <c r="D326" s="26"/>
      <c r="E326" s="26"/>
      <c r="F326" s="26"/>
      <c r="G326" s="26"/>
      <c r="H326" s="24" t="s">
        <v>631</v>
      </c>
      <c r="I326" s="24" t="s">
        <v>632</v>
      </c>
    </row>
    <row r="327" spans="1:9">
      <c r="A327" s="24" t="s">
        <v>748</v>
      </c>
      <c r="B327" s="25">
        <v>0.1176</v>
      </c>
      <c r="C327" s="24" t="s">
        <v>749</v>
      </c>
      <c r="D327" s="26"/>
      <c r="E327" s="26"/>
      <c r="F327" s="26"/>
      <c r="G327" s="26"/>
      <c r="H327" s="24" t="s">
        <v>750</v>
      </c>
      <c r="I327" s="24" t="s">
        <v>719</v>
      </c>
    </row>
    <row r="328" spans="1:9">
      <c r="A328" s="24" t="s">
        <v>751</v>
      </c>
      <c r="B328" s="25">
        <v>0.1088</v>
      </c>
      <c r="C328" s="24" t="s">
        <v>752</v>
      </c>
      <c r="D328" s="26"/>
      <c r="E328" s="26"/>
      <c r="F328" s="26"/>
      <c r="G328" s="26"/>
      <c r="H328" s="24" t="s">
        <v>753</v>
      </c>
      <c r="I328" s="24" t="s">
        <v>754</v>
      </c>
    </row>
    <row r="329" spans="1:9">
      <c r="A329" s="24" t="s">
        <v>755</v>
      </c>
      <c r="B329" s="25">
        <v>0.2609</v>
      </c>
      <c r="C329" s="24" t="s">
        <v>756</v>
      </c>
      <c r="D329" s="26"/>
      <c r="E329" s="26"/>
      <c r="F329" s="26"/>
      <c r="G329" s="26"/>
      <c r="H329" s="24" t="s">
        <v>757</v>
      </c>
      <c r="I329" s="24" t="s">
        <v>758</v>
      </c>
    </row>
    <row r="330" spans="1:9">
      <c r="A330" s="24" t="s">
        <v>759</v>
      </c>
      <c r="B330" s="25">
        <v>0.1976</v>
      </c>
      <c r="C330" s="24" t="s">
        <v>760</v>
      </c>
      <c r="D330" s="26"/>
      <c r="E330" s="26"/>
      <c r="F330" s="26"/>
      <c r="G330" s="26"/>
      <c r="H330" s="24" t="s">
        <v>761</v>
      </c>
      <c r="I330" s="24" t="s">
        <v>762</v>
      </c>
    </row>
    <row r="331" spans="1:9">
      <c r="A331" s="24" t="s">
        <v>763</v>
      </c>
      <c r="B331" s="25">
        <v>0.2222</v>
      </c>
      <c r="C331" s="24" t="s">
        <v>764</v>
      </c>
      <c r="D331" s="26"/>
      <c r="E331" s="26"/>
      <c r="F331" s="26"/>
      <c r="G331" s="26"/>
      <c r="H331" s="24" t="s">
        <v>765</v>
      </c>
      <c r="I331" s="24" t="s">
        <v>766</v>
      </c>
    </row>
    <row r="332" spans="1:9">
      <c r="A332" s="24" t="s">
        <v>767</v>
      </c>
      <c r="B332" s="25">
        <v>0.1997</v>
      </c>
      <c r="C332" s="24" t="s">
        <v>768</v>
      </c>
      <c r="D332" s="26"/>
      <c r="E332" s="26"/>
      <c r="F332" s="26"/>
      <c r="G332" s="26"/>
      <c r="H332" s="24" t="s">
        <v>769</v>
      </c>
      <c r="I332" s="24" t="s">
        <v>770</v>
      </c>
    </row>
    <row r="333" spans="1:9">
      <c r="A333" s="24" t="s">
        <v>771</v>
      </c>
      <c r="B333" s="25">
        <v>0.1928</v>
      </c>
      <c r="C333" s="24" t="s">
        <v>772</v>
      </c>
      <c r="D333" s="26"/>
      <c r="E333" s="26"/>
      <c r="F333" s="26"/>
      <c r="G333" s="26"/>
      <c r="H333" s="24" t="s">
        <v>667</v>
      </c>
      <c r="I333" s="24" t="s">
        <v>773</v>
      </c>
    </row>
    <row r="334" spans="1:9">
      <c r="A334" s="24" t="s">
        <v>774</v>
      </c>
      <c r="B334" s="25">
        <v>0.1547</v>
      </c>
      <c r="C334" s="24" t="s">
        <v>775</v>
      </c>
      <c r="D334" s="26"/>
      <c r="E334" s="26"/>
      <c r="F334" s="26"/>
      <c r="G334" s="26"/>
      <c r="H334" s="24" t="s">
        <v>776</v>
      </c>
      <c r="I334" s="24" t="s">
        <v>707</v>
      </c>
    </row>
    <row r="335" spans="1:9">
      <c r="A335" s="24" t="s">
        <v>777</v>
      </c>
      <c r="B335" s="25">
        <v>0.5048</v>
      </c>
      <c r="C335" s="24" t="s">
        <v>778</v>
      </c>
      <c r="D335" s="26"/>
      <c r="E335" s="26"/>
      <c r="F335" s="26"/>
      <c r="G335" s="26"/>
      <c r="H335" s="24" t="s">
        <v>779</v>
      </c>
      <c r="I335" s="24" t="s">
        <v>780</v>
      </c>
    </row>
    <row r="336" spans="1:9">
      <c r="A336" s="24" t="s">
        <v>781</v>
      </c>
      <c r="B336" s="25">
        <v>0.1174</v>
      </c>
      <c r="C336" s="24" t="s">
        <v>782</v>
      </c>
      <c r="D336" s="26"/>
      <c r="E336" s="26"/>
      <c r="F336" s="26"/>
      <c r="G336" s="26"/>
      <c r="H336" s="24" t="s">
        <v>783</v>
      </c>
      <c r="I336" s="24" t="s">
        <v>784</v>
      </c>
    </row>
    <row r="337" spans="1:9">
      <c r="A337" s="24" t="s">
        <v>785</v>
      </c>
      <c r="B337" s="25">
        <v>0.1456</v>
      </c>
      <c r="C337" s="24" t="s">
        <v>614</v>
      </c>
      <c r="D337" s="26"/>
      <c r="E337" s="26"/>
      <c r="F337" s="26"/>
      <c r="G337" s="26"/>
      <c r="H337" s="24" t="s">
        <v>786</v>
      </c>
      <c r="I337" s="24" t="s">
        <v>787</v>
      </c>
    </row>
    <row r="338" spans="1:9">
      <c r="A338" s="24" t="s">
        <v>788</v>
      </c>
      <c r="B338" s="25">
        <v>0.103</v>
      </c>
      <c r="C338" s="24" t="s">
        <v>789</v>
      </c>
      <c r="D338" s="26"/>
      <c r="E338" s="26"/>
      <c r="F338" s="26"/>
      <c r="G338" s="26"/>
      <c r="H338" s="24" t="s">
        <v>790</v>
      </c>
      <c r="I338" s="24" t="s">
        <v>791</v>
      </c>
    </row>
    <row r="339" spans="1:9">
      <c r="A339" s="24" t="s">
        <v>792</v>
      </c>
      <c r="B339" s="25">
        <v>0.1173</v>
      </c>
      <c r="C339" s="24" t="s">
        <v>793</v>
      </c>
      <c r="D339" s="26"/>
      <c r="E339" s="26"/>
      <c r="F339" s="26"/>
      <c r="G339" s="26"/>
      <c r="H339" s="24" t="s">
        <v>794</v>
      </c>
      <c r="I339" s="24" t="s">
        <v>795</v>
      </c>
    </row>
    <row r="340" spans="1:9">
      <c r="A340" s="24" t="s">
        <v>796</v>
      </c>
      <c r="B340" s="25">
        <v>0.046</v>
      </c>
      <c r="C340" s="24" t="s">
        <v>797</v>
      </c>
      <c r="D340" s="26"/>
      <c r="E340" s="26"/>
      <c r="F340" s="26"/>
      <c r="G340" s="26"/>
      <c r="H340" s="24" t="s">
        <v>798</v>
      </c>
      <c r="I340" s="24" t="s">
        <v>799</v>
      </c>
    </row>
    <row r="341" spans="1:9">
      <c r="A341" s="24" t="s">
        <v>800</v>
      </c>
      <c r="B341" s="25">
        <v>0.1716</v>
      </c>
      <c r="C341" s="24" t="s">
        <v>801</v>
      </c>
      <c r="D341" s="26"/>
      <c r="E341" s="26"/>
      <c r="F341" s="26"/>
      <c r="G341" s="26"/>
      <c r="H341" s="24" t="s">
        <v>802</v>
      </c>
      <c r="I341" s="24" t="s">
        <v>803</v>
      </c>
    </row>
    <row r="342" spans="1:9">
      <c r="A342" s="24" t="s">
        <v>804</v>
      </c>
      <c r="B342" s="25">
        <v>0.149</v>
      </c>
      <c r="C342" s="24" t="s">
        <v>805</v>
      </c>
      <c r="D342" s="26"/>
      <c r="E342" s="26"/>
      <c r="F342" s="26"/>
      <c r="G342" s="26"/>
      <c r="H342" s="24" t="s">
        <v>806</v>
      </c>
      <c r="I342" s="24" t="s">
        <v>807</v>
      </c>
    </row>
    <row r="343" spans="1:9">
      <c r="A343" s="24" t="s">
        <v>808</v>
      </c>
      <c r="B343" s="25">
        <v>0.1329</v>
      </c>
      <c r="C343" s="24" t="s">
        <v>809</v>
      </c>
      <c r="D343" s="26"/>
      <c r="E343" s="26"/>
      <c r="F343" s="26"/>
      <c r="G343" s="26"/>
      <c r="H343" s="24" t="s">
        <v>810</v>
      </c>
      <c r="I343" s="24" t="s">
        <v>811</v>
      </c>
    </row>
    <row r="344" spans="1:9">
      <c r="A344" s="24" t="s">
        <v>812</v>
      </c>
      <c r="B344" s="25">
        <v>0.1183</v>
      </c>
      <c r="C344" s="24" t="s">
        <v>813</v>
      </c>
      <c r="D344" s="26"/>
      <c r="E344" s="26"/>
      <c r="F344" s="26"/>
      <c r="G344" s="26"/>
      <c r="H344" s="24" t="s">
        <v>814</v>
      </c>
      <c r="I344" s="24" t="s">
        <v>815</v>
      </c>
    </row>
    <row r="345" spans="1:9">
      <c r="A345" s="24" t="s">
        <v>816</v>
      </c>
      <c r="B345" s="25">
        <v>0.2485</v>
      </c>
      <c r="C345" s="24" t="s">
        <v>817</v>
      </c>
      <c r="D345" s="26"/>
      <c r="E345" s="26"/>
      <c r="F345" s="26"/>
      <c r="G345" s="26"/>
      <c r="H345" s="24" t="s">
        <v>818</v>
      </c>
      <c r="I345" s="24" t="s">
        <v>819</v>
      </c>
    </row>
    <row r="346" spans="1:9">
      <c r="A346" s="24" t="s">
        <v>820</v>
      </c>
      <c r="B346" s="25">
        <v>0.6833</v>
      </c>
      <c r="C346" s="24" t="s">
        <v>821</v>
      </c>
      <c r="D346" s="26"/>
      <c r="E346" s="26"/>
      <c r="F346" s="26"/>
      <c r="G346" s="26"/>
      <c r="H346" s="24" t="s">
        <v>822</v>
      </c>
      <c r="I346" s="24" t="s">
        <v>823</v>
      </c>
    </row>
    <row r="347" spans="1:9">
      <c r="A347" s="24" t="s">
        <v>824</v>
      </c>
      <c r="B347" s="25">
        <v>0.1109</v>
      </c>
      <c r="C347" s="24" t="s">
        <v>825</v>
      </c>
      <c r="D347" s="26"/>
      <c r="E347" s="26"/>
      <c r="F347" s="26"/>
      <c r="G347" s="26"/>
      <c r="H347" s="24" t="s">
        <v>826</v>
      </c>
      <c r="I347" s="24" t="s">
        <v>827</v>
      </c>
    </row>
    <row r="348" spans="1:9">
      <c r="A348" s="24" t="s">
        <v>828</v>
      </c>
      <c r="B348" s="25">
        <v>0.1261</v>
      </c>
      <c r="C348" s="24" t="s">
        <v>829</v>
      </c>
      <c r="D348" s="26"/>
      <c r="E348" s="26"/>
      <c r="F348" s="26"/>
      <c r="G348" s="26"/>
      <c r="H348" s="24" t="s">
        <v>830</v>
      </c>
      <c r="I348" s="24" t="s">
        <v>831</v>
      </c>
    </row>
    <row r="349" spans="1:9">
      <c r="A349" s="24" t="s">
        <v>832</v>
      </c>
      <c r="B349" s="25">
        <v>0.0882</v>
      </c>
      <c r="C349" s="24" t="s">
        <v>833</v>
      </c>
      <c r="D349" s="26"/>
      <c r="E349" s="26"/>
      <c r="F349" s="26"/>
      <c r="G349" s="26"/>
      <c r="H349" s="24" t="s">
        <v>834</v>
      </c>
      <c r="I349" s="24" t="s">
        <v>715</v>
      </c>
    </row>
    <row r="350" spans="1:9">
      <c r="A350" s="24" t="s">
        <v>835</v>
      </c>
      <c r="B350" s="25">
        <v>0.168</v>
      </c>
      <c r="C350" s="24" t="s">
        <v>836</v>
      </c>
      <c r="D350" s="26"/>
      <c r="E350" s="26"/>
      <c r="F350" s="26"/>
      <c r="G350" s="26"/>
      <c r="H350" s="24" t="s">
        <v>837</v>
      </c>
      <c r="I350" s="24" t="s">
        <v>838</v>
      </c>
    </row>
    <row r="351" spans="1:9">
      <c r="A351" s="24" t="s">
        <v>839</v>
      </c>
      <c r="B351" s="25">
        <v>1.0139</v>
      </c>
      <c r="C351" s="24" t="s">
        <v>840</v>
      </c>
      <c r="D351" s="26"/>
      <c r="E351" s="26"/>
      <c r="F351" s="26"/>
      <c r="G351" s="26"/>
      <c r="H351" s="24" t="s">
        <v>841</v>
      </c>
      <c r="I351" s="24" t="s">
        <v>842</v>
      </c>
    </row>
    <row r="352" spans="1:9">
      <c r="A352" s="24" t="s">
        <v>843</v>
      </c>
      <c r="B352" s="25">
        <v>0.0936</v>
      </c>
      <c r="C352" s="24" t="s">
        <v>844</v>
      </c>
      <c r="D352" s="26"/>
      <c r="E352" s="26"/>
      <c r="F352" s="26"/>
      <c r="G352" s="26"/>
      <c r="H352" s="24" t="s">
        <v>845</v>
      </c>
      <c r="I352" s="24" t="s">
        <v>846</v>
      </c>
    </row>
    <row r="353" spans="1:9">
      <c r="A353" s="24" t="s">
        <v>847</v>
      </c>
      <c r="B353" s="25">
        <v>0.068</v>
      </c>
      <c r="C353" s="24" t="s">
        <v>848</v>
      </c>
      <c r="D353" s="26"/>
      <c r="E353" s="26"/>
      <c r="F353" s="26"/>
      <c r="G353" s="26"/>
      <c r="H353" s="24" t="s">
        <v>849</v>
      </c>
      <c r="I353" s="24" t="s">
        <v>766</v>
      </c>
    </row>
    <row r="354" spans="1:9">
      <c r="A354" s="24" t="s">
        <v>850</v>
      </c>
      <c r="B354" s="25">
        <v>0.0516</v>
      </c>
      <c r="C354" s="24" t="s">
        <v>851</v>
      </c>
      <c r="D354" s="26"/>
      <c r="E354" s="26"/>
      <c r="F354" s="26"/>
      <c r="G354" s="26"/>
      <c r="H354" s="24" t="s">
        <v>852</v>
      </c>
      <c r="I354" s="24" t="s">
        <v>853</v>
      </c>
    </row>
    <row r="355" spans="1:9">
      <c r="A355" s="24" t="s">
        <v>854</v>
      </c>
      <c r="B355" s="25">
        <v>0.1795</v>
      </c>
      <c r="C355" s="24" t="s">
        <v>855</v>
      </c>
      <c r="D355" s="26"/>
      <c r="E355" s="26"/>
      <c r="F355" s="26"/>
      <c r="G355" s="26"/>
      <c r="H355" s="24" t="s">
        <v>856</v>
      </c>
      <c r="I355" s="24" t="s">
        <v>857</v>
      </c>
    </row>
    <row r="356" spans="1:9">
      <c r="A356" s="24" t="s">
        <v>858</v>
      </c>
      <c r="B356" s="25">
        <v>0.8604</v>
      </c>
      <c r="C356" s="24" t="s">
        <v>859</v>
      </c>
      <c r="D356" s="26"/>
      <c r="E356" s="26"/>
      <c r="F356" s="26"/>
      <c r="G356" s="26"/>
      <c r="H356" s="24" t="s">
        <v>860</v>
      </c>
      <c r="I356" s="24" t="s">
        <v>861</v>
      </c>
    </row>
    <row r="357" spans="1:9">
      <c r="A357" s="24" t="s">
        <v>862</v>
      </c>
      <c r="B357" s="25">
        <v>0.1838</v>
      </c>
      <c r="C357" s="24" t="s">
        <v>863</v>
      </c>
      <c r="D357" s="26"/>
      <c r="E357" s="26"/>
      <c r="F357" s="26"/>
      <c r="G357" s="26"/>
      <c r="H357" s="24" t="s">
        <v>864</v>
      </c>
      <c r="I357" s="24" t="s">
        <v>865</v>
      </c>
    </row>
    <row r="358" spans="1:9">
      <c r="A358" s="24" t="s">
        <v>866</v>
      </c>
      <c r="B358" s="25">
        <v>0.0432</v>
      </c>
      <c r="C358" s="24" t="s">
        <v>867</v>
      </c>
      <c r="D358" s="26"/>
      <c r="E358" s="26"/>
      <c r="F358" s="26"/>
      <c r="G358" s="26"/>
      <c r="H358" s="24" t="s">
        <v>868</v>
      </c>
      <c r="I358" s="24" t="s">
        <v>869</v>
      </c>
    </row>
    <row r="359" spans="1:9">
      <c r="A359" s="24" t="s">
        <v>870</v>
      </c>
      <c r="B359" s="25">
        <v>0.0297</v>
      </c>
      <c r="C359" s="24" t="s">
        <v>871</v>
      </c>
      <c r="D359" s="26"/>
      <c r="E359" s="26"/>
      <c r="F359" s="26"/>
      <c r="G359" s="26"/>
      <c r="H359" s="24" t="s">
        <v>872</v>
      </c>
      <c r="I359" s="24" t="s">
        <v>873</v>
      </c>
    </row>
    <row r="360" spans="1:9">
      <c r="A360" s="24" t="s">
        <v>874</v>
      </c>
      <c r="B360" s="25">
        <v>0.0722</v>
      </c>
      <c r="C360" s="24" t="s">
        <v>694</v>
      </c>
      <c r="D360" s="26"/>
      <c r="E360" s="26"/>
      <c r="F360" s="26"/>
      <c r="G360" s="26"/>
      <c r="H360" s="24" t="s">
        <v>875</v>
      </c>
      <c r="I360" s="24" t="s">
        <v>724</v>
      </c>
    </row>
    <row r="361" spans="1:9">
      <c r="A361" s="24" t="s">
        <v>876</v>
      </c>
      <c r="B361" s="25">
        <v>0.0353</v>
      </c>
      <c r="C361" s="24" t="s">
        <v>662</v>
      </c>
      <c r="D361" s="26"/>
      <c r="E361" s="26"/>
      <c r="F361" s="26"/>
      <c r="G361" s="26"/>
      <c r="H361" s="24" t="s">
        <v>877</v>
      </c>
      <c r="I361" s="24" t="s">
        <v>878</v>
      </c>
    </row>
    <row r="362" spans="1:9">
      <c r="A362" s="24" t="s">
        <v>879</v>
      </c>
      <c r="B362" s="25">
        <v>0.083</v>
      </c>
      <c r="C362" s="24" t="s">
        <v>880</v>
      </c>
      <c r="D362" s="26"/>
      <c r="E362" s="26"/>
      <c r="F362" s="26"/>
      <c r="G362" s="26"/>
      <c r="H362" s="24" t="s">
        <v>881</v>
      </c>
      <c r="I362" s="24" t="s">
        <v>730</v>
      </c>
    </row>
    <row r="363" spans="1:9">
      <c r="A363" s="24" t="s">
        <v>882</v>
      </c>
      <c r="B363" s="25">
        <v>0.1335</v>
      </c>
      <c r="C363" s="24" t="s">
        <v>883</v>
      </c>
      <c r="D363" s="26"/>
      <c r="E363" s="26"/>
      <c r="F363" s="26"/>
      <c r="G363" s="26"/>
      <c r="H363" s="24" t="s">
        <v>884</v>
      </c>
      <c r="I363" s="24" t="s">
        <v>885</v>
      </c>
    </row>
    <row r="364" spans="1:9">
      <c r="A364" s="24" t="s">
        <v>886</v>
      </c>
      <c r="B364" s="25">
        <v>0.3846</v>
      </c>
      <c r="C364" s="24" t="s">
        <v>887</v>
      </c>
      <c r="D364" s="26"/>
      <c r="E364" s="26"/>
      <c r="F364" s="26"/>
      <c r="G364" s="26"/>
      <c r="H364" s="24" t="s">
        <v>888</v>
      </c>
      <c r="I364" s="24" t="s">
        <v>730</v>
      </c>
    </row>
    <row r="365" spans="1:9">
      <c r="A365" s="24" t="s">
        <v>889</v>
      </c>
      <c r="B365" s="25">
        <v>0.0627</v>
      </c>
      <c r="C365" s="24" t="s">
        <v>890</v>
      </c>
      <c r="D365" s="26"/>
      <c r="E365" s="26"/>
      <c r="F365" s="26"/>
      <c r="G365" s="26"/>
      <c r="H365" s="24" t="s">
        <v>891</v>
      </c>
      <c r="I365" s="24" t="s">
        <v>892</v>
      </c>
    </row>
    <row r="366" spans="1:9">
      <c r="A366" s="24" t="s">
        <v>893</v>
      </c>
      <c r="B366" s="25">
        <v>0.112</v>
      </c>
      <c r="C366" s="24" t="s">
        <v>894</v>
      </c>
      <c r="D366" s="26"/>
      <c r="E366" s="26"/>
      <c r="F366" s="26"/>
      <c r="G366" s="26"/>
      <c r="H366" s="24" t="s">
        <v>881</v>
      </c>
      <c r="I366" s="24" t="s">
        <v>791</v>
      </c>
    </row>
    <row r="367" spans="1:9">
      <c r="A367" s="24" t="s">
        <v>895</v>
      </c>
      <c r="B367" s="25">
        <v>0.1042</v>
      </c>
      <c r="C367" s="24" t="s">
        <v>896</v>
      </c>
      <c r="D367" s="26"/>
      <c r="E367" s="26"/>
      <c r="F367" s="26"/>
      <c r="G367" s="26"/>
      <c r="H367" s="24" t="s">
        <v>841</v>
      </c>
      <c r="I367" s="24" t="s">
        <v>897</v>
      </c>
    </row>
    <row r="368" spans="1:9">
      <c r="A368" s="24" t="s">
        <v>898</v>
      </c>
      <c r="B368" s="25">
        <v>0.1067</v>
      </c>
      <c r="C368" s="24" t="s">
        <v>899</v>
      </c>
      <c r="D368" s="26"/>
      <c r="E368" s="26"/>
      <c r="F368" s="26"/>
      <c r="G368" s="26"/>
      <c r="H368" s="24" t="s">
        <v>900</v>
      </c>
      <c r="I368" s="24" t="s">
        <v>901</v>
      </c>
    </row>
  </sheetData>
  <conditionalFormatting sqref="B2:B499">
    <cfRule type="colorScale" priority="1">
      <colorScale>
        <cfvo type="min"/>
        <cfvo type="percentile" val="50"/>
        <cfvo type="max"/>
        <color rgb="FFFCA5A5"/>
        <color rgb="FFFDE68A"/>
        <color rgb="FF86EFAC"/>
      </colorScale>
    </cfRule>
  </conditionalFormatting>
  <dataValidations count="3">
    <dataValidation type="list" allowBlank="1" sqref="E369:E499 F369:F499">
      <formula1>"是,否"</formula1>
    </dataValidation>
    <dataValidation type="list" allowBlank="1" sqref="G369:G499">
      <formula1>"机构号,医生号,达人号,品牌号,代运营"</formula1>
    </dataValidation>
    <dataValidation type="list" allowBlank="1" sqref="N178:N499">
      <formula1>"待补数据,已入库,排除"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6"/>
  <sheetViews>
    <sheetView zoomScale="150" zoomScaleNormal="150" workbookViewId="0">
      <selection activeCell="J9" sqref="J9"/>
    </sheetView>
  </sheetViews>
  <sheetFormatPr defaultColWidth="9" defaultRowHeight="16.8"/>
  <cols>
    <col min="1" max="1" width="17.1764705882353" customWidth="1"/>
    <col min="2" max="2" width="11.0367647058824" customWidth="1"/>
    <col min="3" max="3" width="49.6911764705882" customWidth="1"/>
    <col min="4" max="4" width="25.1470588235294" customWidth="1"/>
  </cols>
  <sheetData>
    <row r="1" ht="17" spans="1:15">
      <c r="A1" s="1" t="s">
        <v>902</v>
      </c>
      <c r="B1" s="1" t="s">
        <v>903</v>
      </c>
      <c r="C1" s="1" t="s">
        <v>904</v>
      </c>
      <c r="D1" s="1" t="s">
        <v>905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t="s">
        <v>19</v>
      </c>
      <c r="B2" t="s">
        <v>906</v>
      </c>
      <c r="C2" t="s">
        <v>907</v>
      </c>
      <c r="D2" t="s">
        <v>908</v>
      </c>
    </row>
    <row r="3" spans="1:15">
      <c r="A3" t="s">
        <v>20</v>
      </c>
      <c r="B3" t="s">
        <v>906</v>
      </c>
      <c r="C3" t="s">
        <v>909</v>
      </c>
      <c r="D3" t="s">
        <v>910</v>
      </c>
    </row>
    <row r="4" spans="1:15">
      <c r="A4" t="s">
        <v>21</v>
      </c>
      <c r="B4" t="s">
        <v>911</v>
      </c>
      <c r="C4" t="s">
        <v>912</v>
      </c>
      <c r="D4" t="s">
        <v>913</v>
      </c>
    </row>
    <row r="5" spans="1:15">
      <c r="A5" t="s">
        <v>22</v>
      </c>
      <c r="B5" t="s">
        <v>911</v>
      </c>
      <c r="C5" t="s">
        <v>914</v>
      </c>
      <c r="D5" t="s">
        <v>915</v>
      </c>
    </row>
    <row r="6" spans="1:15">
      <c r="A6" t="s">
        <v>23</v>
      </c>
      <c r="B6" t="s">
        <v>911</v>
      </c>
      <c r="C6" t="s">
        <v>916</v>
      </c>
      <c r="D6" t="s">
        <v>917</v>
      </c>
    </row>
    <row r="7" spans="1:15">
      <c r="A7" t="s">
        <v>24</v>
      </c>
      <c r="B7" t="s">
        <v>911</v>
      </c>
      <c r="C7" t="s">
        <v>918</v>
      </c>
      <c r="D7" t="s">
        <v>919</v>
      </c>
    </row>
    <row r="8" spans="1:15">
      <c r="A8" t="s">
        <v>25</v>
      </c>
      <c r="B8" t="s">
        <v>920</v>
      </c>
      <c r="C8" t="s">
        <v>921</v>
      </c>
      <c r="D8" t="s">
        <v>922</v>
      </c>
    </row>
    <row r="9" spans="1:15">
      <c r="A9" t="s">
        <v>26</v>
      </c>
      <c r="B9" t="s">
        <v>923</v>
      </c>
      <c r="C9" t="s">
        <v>924</v>
      </c>
      <c r="D9" t="s">
        <v>925</v>
      </c>
    </row>
    <row r="10" spans="1:15">
      <c r="A10" t="s">
        <v>27</v>
      </c>
      <c r="B10" t="s">
        <v>923</v>
      </c>
      <c r="C10" t="s">
        <v>926</v>
      </c>
      <c r="D10" t="s">
        <v>927</v>
      </c>
    </row>
    <row r="11" spans="1:15">
      <c r="A11" t="s">
        <v>28</v>
      </c>
      <c r="B11" t="s">
        <v>911</v>
      </c>
      <c r="C11" t="s">
        <v>928</v>
      </c>
      <c r="D11" t="s">
        <v>929</v>
      </c>
    </row>
    <row r="12" spans="1:15">
      <c r="A12" t="s">
        <v>29</v>
      </c>
      <c r="B12" t="s">
        <v>920</v>
      </c>
      <c r="C12" t="s">
        <v>930</v>
      </c>
      <c r="D12" t="s">
        <v>931</v>
      </c>
    </row>
    <row r="13" spans="1:15">
      <c r="A13" t="s">
        <v>30</v>
      </c>
      <c r="B13" t="s">
        <v>920</v>
      </c>
      <c r="C13" t="s">
        <v>932</v>
      </c>
      <c r="D13" t="s">
        <v>933</v>
      </c>
    </row>
    <row r="14" spans="1:15">
      <c r="A14" t="s">
        <v>31</v>
      </c>
      <c r="B14" t="s">
        <v>920</v>
      </c>
      <c r="C14" t="s">
        <v>934</v>
      </c>
      <c r="D14" t="s">
        <v>935</v>
      </c>
    </row>
    <row r="15" spans="1:15">
      <c r="A15" t="s">
        <v>32</v>
      </c>
      <c r="B15" t="s">
        <v>911</v>
      </c>
      <c r="C15" t="s">
        <v>936</v>
      </c>
      <c r="D15" t="s">
        <v>937</v>
      </c>
    </row>
    <row r="16" spans="1:15">
      <c r="A16" t="s">
        <v>33</v>
      </c>
      <c r="B16" t="s">
        <v>920</v>
      </c>
      <c r="C16" t="s">
        <v>938</v>
      </c>
      <c r="D16" t="s">
        <v>939</v>
      </c>
    </row>
  </sheetData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"/>
  <sheetViews>
    <sheetView workbookViewId="0">
      <selection activeCell="A1" sqref="A1"/>
    </sheetView>
  </sheetViews>
  <sheetFormatPr defaultColWidth="9" defaultRowHeight="16.8"/>
  <cols>
    <col min="1" max="4" width="14.1102941176471" customWidth="1"/>
  </cols>
  <sheetData>
    <row r="1" ht="17" spans="1:15">
      <c r="A1" s="1" t="s">
        <v>940</v>
      </c>
      <c r="B1" s="1" t="s">
        <v>941</v>
      </c>
      <c r="C1" s="1" t="s">
        <v>942</v>
      </c>
      <c r="D1" s="1" t="s">
        <v>943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t="s">
        <v>917</v>
      </c>
      <c r="B2" t="s">
        <v>922</v>
      </c>
      <c r="C2" t="s">
        <v>944</v>
      </c>
      <c r="D2" t="s">
        <v>915</v>
      </c>
    </row>
    <row r="3" spans="1:15">
      <c r="A3" t="s">
        <v>919</v>
      </c>
      <c r="B3" t="s">
        <v>945</v>
      </c>
      <c r="C3" t="s">
        <v>937</v>
      </c>
      <c r="D3" t="s">
        <v>946</v>
      </c>
    </row>
    <row r="4" spans="1:15">
      <c r="A4" t="s">
        <v>947</v>
      </c>
      <c r="B4" t="s">
        <v>948</v>
      </c>
      <c r="C4" t="s">
        <v>949</v>
      </c>
      <c r="D4" t="s">
        <v>950</v>
      </c>
    </row>
    <row r="5" spans="1:15">
      <c r="A5" t="s">
        <v>947</v>
      </c>
      <c r="B5" t="s">
        <v>951</v>
      </c>
      <c r="C5" t="s">
        <v>947</v>
      </c>
      <c r="D5" t="s">
        <v>952</v>
      </c>
    </row>
    <row r="6" spans="1:15">
      <c r="A6" t="s">
        <v>947</v>
      </c>
      <c r="B6" t="s">
        <v>953</v>
      </c>
      <c r="C6" t="s">
        <v>947</v>
      </c>
      <c r="D6" t="s">
        <v>954</v>
      </c>
    </row>
    <row r="7" spans="1:15">
      <c r="A7" t="s">
        <v>947</v>
      </c>
      <c r="B7" t="s">
        <v>947</v>
      </c>
      <c r="C7" t="s">
        <v>947</v>
      </c>
      <c r="D7" t="s">
        <v>955</v>
      </c>
    </row>
    <row r="8" spans="1:15">
      <c r="A8" t="s">
        <v>947</v>
      </c>
      <c r="B8" t="s">
        <v>947</v>
      </c>
      <c r="C8" t="s">
        <v>947</v>
      </c>
      <c r="D8" t="s">
        <v>956</v>
      </c>
    </row>
    <row r="9" spans="1:15">
      <c r="A9" t="s">
        <v>947</v>
      </c>
      <c r="B9" t="s">
        <v>947</v>
      </c>
      <c r="C9" t="s">
        <v>947</v>
      </c>
      <c r="D9" t="s">
        <v>957</v>
      </c>
    </row>
    <row r="10" spans="1:15">
      <c r="A10" t="s">
        <v>947</v>
      </c>
      <c r="B10" t="s">
        <v>947</v>
      </c>
      <c r="C10" t="s">
        <v>947</v>
      </c>
      <c r="D10" t="s">
        <v>958</v>
      </c>
    </row>
    <row r="11" spans="1:15">
      <c r="A11" t="s">
        <v>947</v>
      </c>
      <c r="B11" t="s">
        <v>947</v>
      </c>
      <c r="C11" t="s">
        <v>947</v>
      </c>
      <c r="D11" t="s">
        <v>959</v>
      </c>
    </row>
    <row r="12" spans="1:15">
      <c r="A12" t="s">
        <v>947</v>
      </c>
      <c r="B12" t="s">
        <v>947</v>
      </c>
      <c r="C12" t="s">
        <v>947</v>
      </c>
      <c r="D12" t="s">
        <v>960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运营说明</vt:lpstr>
      <vt:lpstr>样本录入</vt:lpstr>
      <vt:lpstr>字段字典</vt:lpstr>
      <vt:lpstr>选项表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江南</cp:lastModifiedBy>
  <dcterms:created xsi:type="dcterms:W3CDTF">2026-05-26T09:24:01Z</dcterms:created>
  <dcterms:modified xsi:type="dcterms:W3CDTF">2026-05-28T17:16:49Z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97D002FEDEDD08910108186A19B647B9_42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